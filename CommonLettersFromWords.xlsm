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dou\Desktop\"/>
    </mc:Choice>
  </mc:AlternateContent>
  <xr:revisionPtr revIDLastSave="0" documentId="13_ncr:1_{88359AF9-9C5B-4AE0-A7DE-EC269A652BB4}" xr6:coauthVersionLast="45" xr6:coauthVersionMax="45" xr10:uidLastSave="{00000000-0000-0000-0000-000000000000}"/>
  <bookViews>
    <workbookView xWindow="-120" yWindow="-120" windowWidth="20730" windowHeight="11160" xr2:uid="{4CD2F9FB-F832-4998-AE4E-3FDD99B585CC}"/>
  </bookViews>
  <sheets>
    <sheet name="Final Dist Detail" sheetId="6" r:id="rId1"/>
    <sheet name="Sheet9" sheetId="9" r:id="rId2"/>
    <sheet name="Final Summary " sheetId="7" r:id="rId3"/>
    <sheet name="Word of Most Common" sheetId="8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J2" i="6" l="1"/>
  <c r="AJ4" i="6"/>
  <c r="AJ5" i="6"/>
  <c r="AJ7" i="6"/>
  <c r="AJ8" i="6"/>
  <c r="AJ9" i="6"/>
  <c r="AJ11" i="6"/>
  <c r="AJ12" i="6"/>
  <c r="AJ13" i="6"/>
  <c r="AJ14" i="6"/>
  <c r="AJ16" i="6"/>
  <c r="AJ17" i="6"/>
  <c r="AJ18" i="6"/>
  <c r="AJ19" i="6"/>
  <c r="AJ20" i="6"/>
  <c r="AJ22" i="6"/>
  <c r="AJ23" i="6"/>
  <c r="AJ24" i="6"/>
  <c r="AJ25" i="6"/>
  <c r="AJ26" i="6"/>
  <c r="AJ27" i="6"/>
  <c r="AJ29" i="6"/>
  <c r="AJ30" i="6"/>
  <c r="AJ31" i="6"/>
  <c r="AJ32" i="6"/>
  <c r="AJ33" i="6"/>
  <c r="AJ34" i="6"/>
  <c r="AJ35" i="6"/>
  <c r="AJ37" i="6"/>
  <c r="AJ38" i="6"/>
  <c r="AJ39" i="6"/>
  <c r="AJ40" i="6"/>
  <c r="AJ41" i="6"/>
  <c r="AJ42" i="6"/>
  <c r="AJ43" i="6"/>
  <c r="AJ44" i="6"/>
  <c r="AJ46" i="6"/>
  <c r="AJ47" i="6"/>
  <c r="AJ48" i="6"/>
  <c r="AJ49" i="6"/>
  <c r="AJ50" i="6"/>
  <c r="AJ51" i="6"/>
  <c r="AJ52" i="6"/>
  <c r="AJ53" i="6"/>
  <c r="AJ54" i="6"/>
  <c r="AJ56" i="6"/>
  <c r="AJ57" i="6"/>
  <c r="AJ58" i="6"/>
  <c r="AJ59" i="6"/>
  <c r="AJ60" i="6"/>
  <c r="AJ61" i="6"/>
  <c r="AJ62" i="6"/>
  <c r="AJ63" i="6"/>
  <c r="AJ64" i="6"/>
  <c r="AJ65" i="6"/>
  <c r="AJ67" i="6"/>
  <c r="AJ68" i="6"/>
  <c r="AJ69" i="6"/>
  <c r="AJ70" i="6"/>
  <c r="AJ71" i="6"/>
  <c r="AJ72" i="6"/>
  <c r="AJ73" i="6"/>
  <c r="AJ74" i="6"/>
  <c r="AJ75" i="6"/>
  <c r="AJ76" i="6"/>
  <c r="AJ77" i="6"/>
  <c r="AJ79" i="6"/>
  <c r="AJ80" i="6"/>
  <c r="AJ81" i="6"/>
  <c r="AJ82" i="6"/>
  <c r="AJ83" i="6"/>
  <c r="AJ84" i="6"/>
  <c r="AJ85" i="6"/>
  <c r="AJ86" i="6"/>
  <c r="AJ87" i="6"/>
  <c r="AJ88" i="6"/>
  <c r="AJ89" i="6"/>
  <c r="AJ90" i="6"/>
  <c r="AJ92" i="6"/>
  <c r="AJ93" i="6"/>
  <c r="AJ94" i="6"/>
  <c r="AJ95" i="6"/>
  <c r="AJ96" i="6"/>
  <c r="AJ97" i="6"/>
  <c r="AJ98" i="6"/>
  <c r="AJ99" i="6"/>
  <c r="AJ100" i="6"/>
  <c r="AJ101" i="6"/>
  <c r="AJ102" i="6"/>
  <c r="AJ103" i="6"/>
  <c r="AJ104" i="6"/>
  <c r="AJ106" i="6"/>
  <c r="AJ107" i="6"/>
  <c r="AJ108" i="6"/>
  <c r="AJ109" i="6"/>
  <c r="AJ110" i="6"/>
  <c r="AJ111" i="6"/>
  <c r="AJ112" i="6"/>
  <c r="AJ113" i="6"/>
  <c r="AJ114" i="6"/>
  <c r="AJ115" i="6"/>
  <c r="AJ116" i="6"/>
  <c r="AJ117" i="6"/>
  <c r="AJ118" i="6"/>
  <c r="AJ119" i="6"/>
  <c r="AJ121" i="6"/>
  <c r="AJ122" i="6"/>
  <c r="AJ123" i="6"/>
  <c r="AJ124" i="6"/>
  <c r="AJ125" i="6"/>
  <c r="AJ126" i="6"/>
  <c r="AJ127" i="6"/>
  <c r="AJ128" i="6"/>
  <c r="AJ129" i="6"/>
  <c r="AJ130" i="6"/>
  <c r="AJ131" i="6"/>
  <c r="AJ132" i="6"/>
  <c r="AJ133" i="6"/>
  <c r="AJ134" i="6"/>
  <c r="AJ135" i="6"/>
  <c r="AJ137" i="6"/>
  <c r="AJ138" i="6"/>
  <c r="AJ139" i="6"/>
  <c r="AJ140" i="6"/>
  <c r="AJ141" i="6"/>
  <c r="AJ142" i="6"/>
  <c r="AJ143" i="6"/>
  <c r="AJ144" i="6"/>
  <c r="AJ145" i="6"/>
  <c r="AJ146" i="6"/>
  <c r="AJ147" i="6"/>
  <c r="AJ148" i="6"/>
  <c r="AJ149" i="6"/>
  <c r="AJ150" i="6"/>
  <c r="AJ151" i="6"/>
  <c r="AJ152" i="6"/>
  <c r="AJ154" i="6"/>
  <c r="AJ155" i="6"/>
  <c r="AJ156" i="6"/>
  <c r="AJ157" i="6"/>
  <c r="AJ158" i="6"/>
  <c r="AJ159" i="6"/>
  <c r="AJ160" i="6"/>
  <c r="AJ161" i="6"/>
  <c r="AJ162" i="6"/>
  <c r="AJ163" i="6"/>
  <c r="AJ164" i="6"/>
  <c r="AJ165" i="6"/>
  <c r="AJ166" i="6"/>
  <c r="AJ167" i="6"/>
  <c r="AJ168" i="6"/>
  <c r="AJ169" i="6"/>
  <c r="AJ170" i="6"/>
  <c r="AJ172" i="6"/>
  <c r="AJ173" i="6"/>
  <c r="AJ174" i="6"/>
  <c r="AJ175" i="6"/>
  <c r="AJ176" i="6"/>
  <c r="AJ177" i="6"/>
  <c r="AJ178" i="6"/>
  <c r="AJ179" i="6"/>
  <c r="AJ180" i="6"/>
  <c r="AJ181" i="6"/>
  <c r="AJ182" i="6"/>
  <c r="AJ183" i="6"/>
  <c r="AJ184" i="6"/>
  <c r="AJ185" i="6"/>
  <c r="AJ186" i="6"/>
  <c r="AJ187" i="6"/>
  <c r="AJ188" i="6"/>
  <c r="AJ189" i="6"/>
  <c r="AJ191" i="6"/>
  <c r="AJ192" i="6"/>
  <c r="AJ193" i="6"/>
  <c r="AJ194" i="6"/>
  <c r="AJ195" i="6"/>
  <c r="AJ196" i="6"/>
  <c r="AJ197" i="6"/>
  <c r="AJ198" i="6"/>
  <c r="AJ199" i="6"/>
  <c r="AJ200" i="6"/>
  <c r="AJ201" i="6"/>
  <c r="AJ202" i="6"/>
  <c r="AJ203" i="6"/>
  <c r="AJ204" i="6"/>
  <c r="AJ205" i="6"/>
  <c r="AJ206" i="6"/>
  <c r="AJ207" i="6"/>
  <c r="AJ208" i="6"/>
  <c r="AJ209" i="6"/>
  <c r="AC2" i="6"/>
  <c r="AG2" i="6" s="1" a="1"/>
  <c r="AG2" i="6" s="1"/>
  <c r="AH2" i="6" s="1"/>
  <c r="AI2" i="6" s="1"/>
  <c r="AD69" i="6"/>
  <c r="AD133" i="6"/>
  <c r="AD197" i="6"/>
  <c r="AF4" i="6"/>
  <c r="AF5" i="6"/>
  <c r="AF7" i="6"/>
  <c r="AF8" i="6"/>
  <c r="AF9" i="6"/>
  <c r="AF11" i="6"/>
  <c r="AF12" i="6"/>
  <c r="AF13" i="6"/>
  <c r="AF14" i="6"/>
  <c r="AF16" i="6"/>
  <c r="AF17" i="6"/>
  <c r="AF18" i="6"/>
  <c r="AF19" i="6"/>
  <c r="AF20" i="6"/>
  <c r="AF22" i="6"/>
  <c r="AF23" i="6"/>
  <c r="AF24" i="6"/>
  <c r="AF25" i="6"/>
  <c r="AF26" i="6"/>
  <c r="AF27" i="6"/>
  <c r="AF29" i="6"/>
  <c r="AF30" i="6"/>
  <c r="AF31" i="6"/>
  <c r="AF32" i="6"/>
  <c r="AF33" i="6"/>
  <c r="AF34" i="6"/>
  <c r="AF35" i="6"/>
  <c r="AF37" i="6"/>
  <c r="AF38" i="6"/>
  <c r="AF39" i="6"/>
  <c r="AF40" i="6"/>
  <c r="AF41" i="6"/>
  <c r="AF42" i="6"/>
  <c r="AF43" i="6"/>
  <c r="AF44" i="6"/>
  <c r="AF46" i="6"/>
  <c r="AF47" i="6"/>
  <c r="AF48" i="6"/>
  <c r="AF49" i="6"/>
  <c r="AF50" i="6"/>
  <c r="AF51" i="6"/>
  <c r="AF52" i="6"/>
  <c r="AF53" i="6"/>
  <c r="AF54" i="6"/>
  <c r="AF56" i="6"/>
  <c r="AF57" i="6"/>
  <c r="AF58" i="6"/>
  <c r="AF59" i="6"/>
  <c r="AF60" i="6"/>
  <c r="AF61" i="6"/>
  <c r="AF62" i="6"/>
  <c r="AF63" i="6"/>
  <c r="AF64" i="6"/>
  <c r="AF65" i="6"/>
  <c r="AF67" i="6"/>
  <c r="AF68" i="6"/>
  <c r="AF69" i="6"/>
  <c r="AF70" i="6"/>
  <c r="AF71" i="6"/>
  <c r="AF72" i="6"/>
  <c r="AF73" i="6"/>
  <c r="AF74" i="6"/>
  <c r="AF75" i="6"/>
  <c r="AF76" i="6"/>
  <c r="AF77" i="6"/>
  <c r="AF79" i="6"/>
  <c r="AF80" i="6"/>
  <c r="AF81" i="6"/>
  <c r="AF82" i="6"/>
  <c r="AF83" i="6"/>
  <c r="AF84" i="6"/>
  <c r="AF85" i="6"/>
  <c r="AF86" i="6"/>
  <c r="AF87" i="6"/>
  <c r="AF88" i="6"/>
  <c r="AF89" i="6"/>
  <c r="AF90" i="6"/>
  <c r="AF92" i="6"/>
  <c r="AF93" i="6"/>
  <c r="AF94" i="6"/>
  <c r="AF95" i="6"/>
  <c r="AF96" i="6"/>
  <c r="AF97" i="6"/>
  <c r="AF98" i="6"/>
  <c r="AF99" i="6"/>
  <c r="AF100" i="6"/>
  <c r="AF101" i="6"/>
  <c r="AF102" i="6"/>
  <c r="AF103" i="6"/>
  <c r="AF104" i="6"/>
  <c r="AF106" i="6"/>
  <c r="AF107" i="6"/>
  <c r="AF108" i="6"/>
  <c r="AF109" i="6"/>
  <c r="AF110" i="6"/>
  <c r="AF111" i="6"/>
  <c r="AF112" i="6"/>
  <c r="AF113" i="6"/>
  <c r="AF114" i="6"/>
  <c r="AF115" i="6"/>
  <c r="AF116" i="6"/>
  <c r="AF117" i="6"/>
  <c r="AF118" i="6"/>
  <c r="AF119" i="6"/>
  <c r="AF121" i="6"/>
  <c r="AF122" i="6"/>
  <c r="AF123" i="6"/>
  <c r="AF124" i="6"/>
  <c r="AF125" i="6"/>
  <c r="AF126" i="6"/>
  <c r="AF127" i="6"/>
  <c r="AF128" i="6"/>
  <c r="AF129" i="6"/>
  <c r="AF130" i="6"/>
  <c r="AF131" i="6"/>
  <c r="AF132" i="6"/>
  <c r="AF133" i="6"/>
  <c r="AF134" i="6"/>
  <c r="AF135" i="6"/>
  <c r="AF137" i="6"/>
  <c r="AF138" i="6"/>
  <c r="AF139" i="6"/>
  <c r="AF140" i="6"/>
  <c r="AF141" i="6"/>
  <c r="AF142" i="6"/>
  <c r="AF143" i="6"/>
  <c r="AF144" i="6"/>
  <c r="AF145" i="6"/>
  <c r="AF146" i="6"/>
  <c r="AF147" i="6"/>
  <c r="AF148" i="6"/>
  <c r="AF149" i="6"/>
  <c r="AF150" i="6"/>
  <c r="AF151" i="6"/>
  <c r="AF152" i="6"/>
  <c r="AF154" i="6"/>
  <c r="AF155" i="6"/>
  <c r="AF156" i="6"/>
  <c r="AF157" i="6"/>
  <c r="AF158" i="6"/>
  <c r="AF159" i="6"/>
  <c r="AF160" i="6"/>
  <c r="AF161" i="6"/>
  <c r="AF162" i="6"/>
  <c r="AF163" i="6"/>
  <c r="AF164" i="6"/>
  <c r="AF165" i="6"/>
  <c r="AF166" i="6"/>
  <c r="AF167" i="6"/>
  <c r="AF168" i="6"/>
  <c r="AF169" i="6"/>
  <c r="AF170" i="6"/>
  <c r="AF172" i="6"/>
  <c r="AF173" i="6"/>
  <c r="AF174" i="6"/>
  <c r="AF175" i="6"/>
  <c r="AF176" i="6"/>
  <c r="AF177" i="6"/>
  <c r="AF178" i="6"/>
  <c r="AF179" i="6"/>
  <c r="AF180" i="6"/>
  <c r="AF181" i="6"/>
  <c r="AF182" i="6"/>
  <c r="AF183" i="6"/>
  <c r="AF184" i="6"/>
  <c r="AF185" i="6"/>
  <c r="AF186" i="6"/>
  <c r="AF187" i="6"/>
  <c r="AF188" i="6"/>
  <c r="AF189" i="6"/>
  <c r="AF191" i="6"/>
  <c r="AF192" i="6"/>
  <c r="AF193" i="6"/>
  <c r="AF194" i="6"/>
  <c r="AF195" i="6"/>
  <c r="AF196" i="6"/>
  <c r="AF197" i="6"/>
  <c r="AF198" i="6"/>
  <c r="AF199" i="6"/>
  <c r="AF200" i="6"/>
  <c r="AF201" i="6"/>
  <c r="AF202" i="6"/>
  <c r="AF203" i="6"/>
  <c r="AF204" i="6"/>
  <c r="AF205" i="6"/>
  <c r="AF206" i="6"/>
  <c r="AF207" i="6"/>
  <c r="AF208" i="6"/>
  <c r="AF209" i="6"/>
  <c r="AF2" i="6"/>
  <c r="AC3" i="6"/>
  <c r="AC4" i="6"/>
  <c r="AC5" i="6"/>
  <c r="AG5" i="6" s="1" a="1"/>
  <c r="AG5" i="6" s="1"/>
  <c r="AH5" i="6" s="1"/>
  <c r="AC6" i="6"/>
  <c r="AC7" i="6"/>
  <c r="AC8" i="6"/>
  <c r="AC9" i="6"/>
  <c r="AC10" i="6"/>
  <c r="AG10" i="6" s="1" a="1"/>
  <c r="AG10" i="6" s="1"/>
  <c r="AH10" i="6" s="1"/>
  <c r="AC11" i="6"/>
  <c r="AC12" i="6"/>
  <c r="AC13" i="6"/>
  <c r="AC14" i="6"/>
  <c r="AC15" i="6"/>
  <c r="AG15" i="6" s="1" a="1"/>
  <c r="AG15" i="6" s="1"/>
  <c r="AH15" i="6" s="1"/>
  <c r="AC16" i="6"/>
  <c r="AC17" i="6"/>
  <c r="AC18" i="6"/>
  <c r="AC19" i="6"/>
  <c r="AC20" i="6"/>
  <c r="AC21" i="6"/>
  <c r="AG21" i="6" s="1" a="1"/>
  <c r="AG21" i="6" s="1"/>
  <c r="AH21" i="6" s="1"/>
  <c r="AC22" i="6"/>
  <c r="AC23" i="6"/>
  <c r="AC24" i="6"/>
  <c r="AC25" i="6"/>
  <c r="AG25" i="6" s="1" a="1"/>
  <c r="AG25" i="6" s="1"/>
  <c r="AH25" i="6" s="1"/>
  <c r="AC26" i="6"/>
  <c r="AC27" i="6"/>
  <c r="AC28" i="6"/>
  <c r="AC29" i="6"/>
  <c r="AG29" i="6" s="1" a="1"/>
  <c r="AG29" i="6" s="1"/>
  <c r="AH29" i="6" s="1"/>
  <c r="AI29" i="6" s="1"/>
  <c r="AC30" i="6"/>
  <c r="AC31" i="6"/>
  <c r="AD31" i="6" s="1"/>
  <c r="AC32" i="6"/>
  <c r="AC33" i="6"/>
  <c r="AG33" i="6" s="1" a="1"/>
  <c r="AG33" i="6" s="1"/>
  <c r="AH33" i="6" s="1"/>
  <c r="AC34" i="6"/>
  <c r="AC35" i="6"/>
  <c r="AC36" i="6"/>
  <c r="AC37" i="6"/>
  <c r="AG37" i="6" s="1" a="1"/>
  <c r="AG37" i="6" s="1"/>
  <c r="AH37" i="6" s="1"/>
  <c r="AI37" i="6" s="1"/>
  <c r="AC38" i="6"/>
  <c r="AD38" i="6" s="1"/>
  <c r="AC39" i="6"/>
  <c r="AC40" i="6"/>
  <c r="AC41" i="6"/>
  <c r="AG41" i="6" s="1" a="1"/>
  <c r="AG41" i="6" s="1"/>
  <c r="AH41" i="6" s="1"/>
  <c r="AC42" i="6"/>
  <c r="AC43" i="6"/>
  <c r="AC44" i="6"/>
  <c r="AC45" i="6"/>
  <c r="AG45" i="6" s="1" a="1"/>
  <c r="AG45" i="6" s="1"/>
  <c r="AH45" i="6" s="1"/>
  <c r="AC46" i="6"/>
  <c r="AC47" i="6"/>
  <c r="AC48" i="6"/>
  <c r="AC49" i="6"/>
  <c r="AG49" i="6" s="1" a="1"/>
  <c r="AG49" i="6" s="1"/>
  <c r="AH49" i="6" s="1"/>
  <c r="AC50" i="6"/>
  <c r="AC51" i="6"/>
  <c r="AC52" i="6"/>
  <c r="AC53" i="6"/>
  <c r="AG53" i="6" s="1" a="1"/>
  <c r="AG53" i="6" s="1"/>
  <c r="AH53" i="6" s="1"/>
  <c r="AC54" i="6"/>
  <c r="AC55" i="6"/>
  <c r="AC56" i="6"/>
  <c r="AC57" i="6"/>
  <c r="AG57" i="6" s="1" a="1"/>
  <c r="AG57" i="6" s="1"/>
  <c r="AH57" i="6" s="1"/>
  <c r="AC58" i="6"/>
  <c r="AC59" i="6"/>
  <c r="AC60" i="6"/>
  <c r="AC61" i="6"/>
  <c r="AG61" i="6" s="1" a="1"/>
  <c r="AG61" i="6" s="1"/>
  <c r="AH61" i="6" s="1"/>
  <c r="AC62" i="6"/>
  <c r="AC63" i="6"/>
  <c r="AC64" i="6"/>
  <c r="AC65" i="6"/>
  <c r="AG65" i="6" s="1" a="1"/>
  <c r="AG65" i="6" s="1"/>
  <c r="AH65" i="6" s="1"/>
  <c r="AC66" i="6"/>
  <c r="AC67" i="6"/>
  <c r="AC68" i="6"/>
  <c r="AC69" i="6"/>
  <c r="AG69" i="6" s="1" a="1"/>
  <c r="AG69" i="6" s="1"/>
  <c r="AH69" i="6" s="1"/>
  <c r="AC70" i="6"/>
  <c r="AC71" i="6"/>
  <c r="AC72" i="6"/>
  <c r="AC73" i="6"/>
  <c r="AG73" i="6" s="1" a="1"/>
  <c r="AG73" i="6" s="1"/>
  <c r="AH73" i="6" s="1"/>
  <c r="AC74" i="6"/>
  <c r="AC75" i="6"/>
  <c r="AC76" i="6"/>
  <c r="AC77" i="6"/>
  <c r="AG77" i="6" s="1" a="1"/>
  <c r="AG77" i="6" s="1"/>
  <c r="AH77" i="6" s="1"/>
  <c r="AC78" i="6"/>
  <c r="AC79" i="6"/>
  <c r="AC80" i="6"/>
  <c r="AC81" i="6"/>
  <c r="AG81" i="6" s="1" a="1"/>
  <c r="AG81" i="6" s="1"/>
  <c r="AH81" i="6" s="1"/>
  <c r="AC82" i="6"/>
  <c r="AC83" i="6"/>
  <c r="AC84" i="6"/>
  <c r="AC85" i="6"/>
  <c r="AG85" i="6" s="1" a="1"/>
  <c r="AG85" i="6" s="1"/>
  <c r="AH85" i="6" s="1"/>
  <c r="AC86" i="6"/>
  <c r="AC87" i="6"/>
  <c r="AC88" i="6"/>
  <c r="AC89" i="6"/>
  <c r="AG89" i="6" s="1" a="1"/>
  <c r="AG89" i="6" s="1"/>
  <c r="AH89" i="6" s="1"/>
  <c r="AC90" i="6"/>
  <c r="AC91" i="6"/>
  <c r="AC92" i="6"/>
  <c r="AC93" i="6"/>
  <c r="AG93" i="6" s="1" a="1"/>
  <c r="AG93" i="6" s="1"/>
  <c r="AH93" i="6" s="1"/>
  <c r="AC94" i="6"/>
  <c r="AC95" i="6"/>
  <c r="AC96" i="6"/>
  <c r="AC97" i="6"/>
  <c r="AG97" i="6" s="1" a="1"/>
  <c r="AG97" i="6" s="1"/>
  <c r="AH97" i="6" s="1"/>
  <c r="AC98" i="6"/>
  <c r="AC99" i="6"/>
  <c r="AC100" i="6"/>
  <c r="AC101" i="6"/>
  <c r="AG101" i="6" s="1" a="1"/>
  <c r="AG101" i="6" s="1"/>
  <c r="AH101" i="6" s="1"/>
  <c r="AC102" i="6"/>
  <c r="AD102" i="6" s="1"/>
  <c r="AC103" i="6"/>
  <c r="AC104" i="6"/>
  <c r="AC105" i="6"/>
  <c r="AG105" i="6" s="1" a="1"/>
  <c r="AG105" i="6" s="1"/>
  <c r="AH105" i="6" s="1"/>
  <c r="AC106" i="6"/>
  <c r="AC107" i="6"/>
  <c r="AC108" i="6"/>
  <c r="AD108" i="6" s="1"/>
  <c r="AC109" i="6"/>
  <c r="AG109" i="6" s="1" a="1"/>
  <c r="AG109" i="6" s="1"/>
  <c r="AH109" i="6" s="1"/>
  <c r="AC110" i="6"/>
  <c r="AC111" i="6"/>
  <c r="AD111" i="6" s="1"/>
  <c r="AC112" i="6"/>
  <c r="AC113" i="6"/>
  <c r="AG113" i="6" s="1" a="1"/>
  <c r="AG113" i="6" s="1"/>
  <c r="AH113" i="6" s="1"/>
  <c r="AC114" i="6"/>
  <c r="AC115" i="6"/>
  <c r="AC116" i="6"/>
  <c r="AC117" i="6"/>
  <c r="AG117" i="6" s="1" a="1"/>
  <c r="AG117" i="6" s="1"/>
  <c r="AH117" i="6" s="1"/>
  <c r="AC118" i="6"/>
  <c r="AC119" i="6"/>
  <c r="AC120" i="6"/>
  <c r="AC121" i="6"/>
  <c r="AG121" i="6" s="1" a="1"/>
  <c r="AG121" i="6" s="1"/>
  <c r="AH121" i="6" s="1"/>
  <c r="AI121" i="6" s="1"/>
  <c r="AC122" i="6"/>
  <c r="AC123" i="6"/>
  <c r="AC124" i="6"/>
  <c r="AC125" i="6"/>
  <c r="AG125" i="6" s="1" a="1"/>
  <c r="AG125" i="6" s="1"/>
  <c r="AH125" i="6" s="1"/>
  <c r="AC126" i="6"/>
  <c r="AC127" i="6"/>
  <c r="AC128" i="6"/>
  <c r="AC129" i="6"/>
  <c r="AG129" i="6" s="1" a="1"/>
  <c r="AG129" i="6" s="1"/>
  <c r="AH129" i="6" s="1"/>
  <c r="AC130" i="6"/>
  <c r="AC131" i="6"/>
  <c r="AC132" i="6"/>
  <c r="AC133" i="6"/>
  <c r="AG133" i="6" s="1" a="1"/>
  <c r="AG133" i="6" s="1"/>
  <c r="AH133" i="6" s="1"/>
  <c r="AC134" i="6"/>
  <c r="AC135" i="6"/>
  <c r="AC136" i="6"/>
  <c r="AC137" i="6"/>
  <c r="AG137" i="6" s="1" a="1"/>
  <c r="AG137" i="6" s="1"/>
  <c r="AH137" i="6" s="1"/>
  <c r="AI137" i="6" s="1"/>
  <c r="AC138" i="6"/>
  <c r="AC139" i="6"/>
  <c r="AC140" i="6"/>
  <c r="AC141" i="6"/>
  <c r="AG141" i="6" s="1" a="1"/>
  <c r="AG141" i="6" s="1"/>
  <c r="AH141" i="6" s="1"/>
  <c r="AC142" i="6"/>
  <c r="AC143" i="6"/>
  <c r="AC144" i="6"/>
  <c r="AC145" i="6"/>
  <c r="AG145" i="6" s="1" a="1"/>
  <c r="AG145" i="6" s="1"/>
  <c r="AH145" i="6" s="1"/>
  <c r="AC146" i="6"/>
  <c r="AC147" i="6"/>
  <c r="AC148" i="6"/>
  <c r="AC149" i="6"/>
  <c r="AG149" i="6" s="1" a="1"/>
  <c r="AG149" i="6" s="1"/>
  <c r="AH149" i="6" s="1"/>
  <c r="AC150" i="6"/>
  <c r="AC151" i="6"/>
  <c r="AD151" i="6" s="1"/>
  <c r="AC152" i="6"/>
  <c r="AC153" i="6"/>
  <c r="AG153" i="6" s="1" a="1"/>
  <c r="AG153" i="6" s="1"/>
  <c r="AH153" i="6" s="1"/>
  <c r="AC154" i="6"/>
  <c r="AC155" i="6"/>
  <c r="AC156" i="6"/>
  <c r="AC157" i="6"/>
  <c r="AG157" i="6" s="1" a="1"/>
  <c r="AG157" i="6" s="1"/>
  <c r="AH157" i="6" s="1"/>
  <c r="AC158" i="6"/>
  <c r="AC159" i="6"/>
  <c r="AC160" i="6"/>
  <c r="AC161" i="6"/>
  <c r="AG161" i="6" s="1" a="1"/>
  <c r="AG161" i="6" s="1"/>
  <c r="AH161" i="6" s="1"/>
  <c r="AC162" i="6"/>
  <c r="AD162" i="6" s="1"/>
  <c r="AC163" i="6"/>
  <c r="AC164" i="6"/>
  <c r="AC165" i="6"/>
  <c r="AG165" i="6" s="1" a="1"/>
  <c r="AG165" i="6" s="1"/>
  <c r="AH165" i="6" s="1"/>
  <c r="AC166" i="6"/>
  <c r="AC167" i="6"/>
  <c r="AC168" i="6"/>
  <c r="AC169" i="6"/>
  <c r="AG169" i="6" s="1" a="1"/>
  <c r="AG169" i="6" s="1"/>
  <c r="AH169" i="6" s="1"/>
  <c r="AC170" i="6"/>
  <c r="AC171" i="6"/>
  <c r="AC172" i="6"/>
  <c r="AC173" i="6"/>
  <c r="AG173" i="6" s="1" a="1"/>
  <c r="AG173" i="6" s="1"/>
  <c r="AH173" i="6" s="1"/>
  <c r="AC174" i="6"/>
  <c r="AC175" i="6"/>
  <c r="AC176" i="6"/>
  <c r="AC177" i="6"/>
  <c r="AG177" i="6" s="1" a="1"/>
  <c r="AG177" i="6" s="1"/>
  <c r="AH177" i="6" s="1"/>
  <c r="AC178" i="6"/>
  <c r="AC179" i="6"/>
  <c r="AC180" i="6"/>
  <c r="AC181" i="6"/>
  <c r="AG181" i="6" s="1" a="1"/>
  <c r="AG181" i="6" s="1"/>
  <c r="AH181" i="6" s="1"/>
  <c r="AC182" i="6"/>
  <c r="AC183" i="6"/>
  <c r="AC184" i="6"/>
  <c r="AC185" i="6"/>
  <c r="AG185" i="6" s="1" a="1"/>
  <c r="AG185" i="6" s="1"/>
  <c r="AH185" i="6" s="1"/>
  <c r="AC186" i="6"/>
  <c r="AC187" i="6"/>
  <c r="AC188" i="6"/>
  <c r="AC189" i="6"/>
  <c r="AG189" i="6" s="1" a="1"/>
  <c r="AG189" i="6" s="1"/>
  <c r="AH189" i="6" s="1"/>
  <c r="AC190" i="6"/>
  <c r="AD190" i="6" s="1"/>
  <c r="AC191" i="6"/>
  <c r="AC192" i="6"/>
  <c r="AC193" i="6"/>
  <c r="AG193" i="6" s="1" a="1"/>
  <c r="AG193" i="6" s="1"/>
  <c r="AH193" i="6" s="1"/>
  <c r="AC194" i="6"/>
  <c r="AC195" i="6"/>
  <c r="AC196" i="6"/>
  <c r="AC197" i="6"/>
  <c r="AG197" i="6" s="1" a="1"/>
  <c r="AG197" i="6" s="1"/>
  <c r="AH197" i="6" s="1"/>
  <c r="AC198" i="6"/>
  <c r="AC199" i="6"/>
  <c r="AC200" i="6"/>
  <c r="AC201" i="6"/>
  <c r="AG201" i="6" s="1" a="1"/>
  <c r="AG201" i="6" s="1"/>
  <c r="AH201" i="6" s="1"/>
  <c r="AC202" i="6"/>
  <c r="AC203" i="6"/>
  <c r="AC204" i="6"/>
  <c r="AC205" i="6"/>
  <c r="AG205" i="6" s="1" a="1"/>
  <c r="AG205" i="6" s="1"/>
  <c r="AH205" i="6" s="1"/>
  <c r="AC206" i="6"/>
  <c r="AC207" i="6"/>
  <c r="AC208" i="6"/>
  <c r="AC209" i="6"/>
  <c r="AG209" i="6" s="1" a="1"/>
  <c r="AG209" i="6" s="1"/>
  <c r="AH209" i="6" s="1"/>
  <c r="AC210" i="6"/>
  <c r="B22" i="7"/>
  <c r="X2" i="7"/>
  <c r="Y2" i="7"/>
  <c r="Z2" i="7"/>
  <c r="AA2" i="7"/>
  <c r="AB2" i="7"/>
  <c r="AC2" i="7"/>
  <c r="X3" i="7"/>
  <c r="Y3" i="7"/>
  <c r="Z3" i="7"/>
  <c r="AA3" i="7"/>
  <c r="AB3" i="7"/>
  <c r="AC3" i="7"/>
  <c r="X4" i="7"/>
  <c r="Y4" i="7"/>
  <c r="Z4" i="7"/>
  <c r="AA4" i="7"/>
  <c r="AB4" i="7"/>
  <c r="AC4" i="7"/>
  <c r="X5" i="7"/>
  <c r="Y5" i="7"/>
  <c r="Z5" i="7"/>
  <c r="AA5" i="7"/>
  <c r="AB5" i="7"/>
  <c r="AC5" i="7"/>
  <c r="X6" i="7"/>
  <c r="Y6" i="7"/>
  <c r="Z6" i="7"/>
  <c r="AA6" i="7"/>
  <c r="AB6" i="7"/>
  <c r="AC6" i="7"/>
  <c r="X7" i="7"/>
  <c r="Y7" i="7"/>
  <c r="Z7" i="7"/>
  <c r="AA7" i="7"/>
  <c r="AB7" i="7"/>
  <c r="AC7" i="7"/>
  <c r="X8" i="7"/>
  <c r="Y8" i="7"/>
  <c r="Z8" i="7"/>
  <c r="AA8" i="7"/>
  <c r="AB8" i="7"/>
  <c r="AC8" i="7"/>
  <c r="X9" i="7"/>
  <c r="Y9" i="7"/>
  <c r="Z9" i="7"/>
  <c r="AA9" i="7"/>
  <c r="AB9" i="7"/>
  <c r="AC9" i="7"/>
  <c r="X10" i="7"/>
  <c r="Y10" i="7"/>
  <c r="Z10" i="7"/>
  <c r="AA10" i="7"/>
  <c r="AB10" i="7"/>
  <c r="AC10" i="7"/>
  <c r="X11" i="7"/>
  <c r="Y11" i="7"/>
  <c r="Z11" i="7"/>
  <c r="AA11" i="7"/>
  <c r="AB11" i="7"/>
  <c r="AC11" i="7"/>
  <c r="X12" i="7"/>
  <c r="Y12" i="7"/>
  <c r="Z12" i="7"/>
  <c r="AA12" i="7"/>
  <c r="AB12" i="7"/>
  <c r="AC12" i="7"/>
  <c r="X13" i="7"/>
  <c r="Y13" i="7"/>
  <c r="Z13" i="7"/>
  <c r="AA13" i="7"/>
  <c r="AB13" i="7"/>
  <c r="AC13" i="7"/>
  <c r="X14" i="7"/>
  <c r="Y14" i="7"/>
  <c r="Z14" i="7"/>
  <c r="AA14" i="7"/>
  <c r="AB14" i="7"/>
  <c r="AC14" i="7"/>
  <c r="X15" i="7"/>
  <c r="Y15" i="7"/>
  <c r="Z15" i="7"/>
  <c r="AA15" i="7"/>
  <c r="AB15" i="7"/>
  <c r="AC15" i="7"/>
  <c r="X16" i="7"/>
  <c r="Y16" i="7"/>
  <c r="Z16" i="7"/>
  <c r="AA16" i="7"/>
  <c r="AB16" i="7"/>
  <c r="AC16" i="7"/>
  <c r="X17" i="7"/>
  <c r="Y17" i="7"/>
  <c r="Z17" i="7"/>
  <c r="AA17" i="7"/>
  <c r="AB17" i="7"/>
  <c r="AC17" i="7"/>
  <c r="X18" i="7"/>
  <c r="Y18" i="7"/>
  <c r="Z18" i="7"/>
  <c r="AA18" i="7"/>
  <c r="AB18" i="7"/>
  <c r="AC18" i="7"/>
  <c r="X19" i="7"/>
  <c r="Y19" i="7"/>
  <c r="Z19" i="7"/>
  <c r="AA19" i="7"/>
  <c r="AB19" i="7"/>
  <c r="AC19" i="7"/>
  <c r="X20" i="7"/>
  <c r="Y20" i="7"/>
  <c r="Z20" i="7"/>
  <c r="AA20" i="7"/>
  <c r="AB20" i="7"/>
  <c r="AC20" i="7"/>
  <c r="E2" i="7"/>
  <c r="F2" i="7"/>
  <c r="G2" i="7"/>
  <c r="H2" i="7"/>
  <c r="I2" i="7"/>
  <c r="J2" i="7"/>
  <c r="K2" i="7"/>
  <c r="L2" i="7"/>
  <c r="M2" i="7"/>
  <c r="N2" i="7"/>
  <c r="O2" i="7"/>
  <c r="P2" i="7"/>
  <c r="Q2" i="7"/>
  <c r="R2" i="7"/>
  <c r="S2" i="7"/>
  <c r="T2" i="7"/>
  <c r="U2" i="7"/>
  <c r="V2" i="7"/>
  <c r="W2" i="7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E4" i="7"/>
  <c r="F4" i="7"/>
  <c r="G4" i="7"/>
  <c r="H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E5" i="7"/>
  <c r="F5" i="7"/>
  <c r="G5" i="7"/>
  <c r="H5" i="7"/>
  <c r="I5" i="7"/>
  <c r="J5" i="7"/>
  <c r="K5" i="7"/>
  <c r="L5" i="7"/>
  <c r="M5" i="7"/>
  <c r="N5" i="7"/>
  <c r="O5" i="7"/>
  <c r="P5" i="7"/>
  <c r="Q5" i="7"/>
  <c r="R5" i="7"/>
  <c r="S5" i="7"/>
  <c r="T5" i="7"/>
  <c r="U5" i="7"/>
  <c r="V5" i="7"/>
  <c r="W5" i="7"/>
  <c r="E6" i="7"/>
  <c r="F6" i="7"/>
  <c r="G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E7" i="7"/>
  <c r="F7" i="7"/>
  <c r="G7" i="7"/>
  <c r="H7" i="7"/>
  <c r="I7" i="7"/>
  <c r="J7" i="7"/>
  <c r="K7" i="7"/>
  <c r="L7" i="7"/>
  <c r="M7" i="7"/>
  <c r="N7" i="7"/>
  <c r="O7" i="7"/>
  <c r="P7" i="7"/>
  <c r="Q7" i="7"/>
  <c r="R7" i="7"/>
  <c r="S7" i="7"/>
  <c r="T7" i="7"/>
  <c r="U7" i="7"/>
  <c r="V7" i="7"/>
  <c r="W7" i="7"/>
  <c r="E8" i="7"/>
  <c r="F8" i="7"/>
  <c r="G8" i="7"/>
  <c r="H8" i="7"/>
  <c r="I8" i="7"/>
  <c r="J8" i="7"/>
  <c r="K8" i="7"/>
  <c r="L8" i="7"/>
  <c r="M8" i="7"/>
  <c r="N8" i="7"/>
  <c r="O8" i="7"/>
  <c r="P8" i="7"/>
  <c r="Q8" i="7"/>
  <c r="R8" i="7"/>
  <c r="S8" i="7"/>
  <c r="T8" i="7"/>
  <c r="U8" i="7"/>
  <c r="V8" i="7"/>
  <c r="W8" i="7"/>
  <c r="E9" i="7"/>
  <c r="F9" i="7"/>
  <c r="G9" i="7"/>
  <c r="H9" i="7"/>
  <c r="I9" i="7"/>
  <c r="J9" i="7"/>
  <c r="K9" i="7"/>
  <c r="L9" i="7"/>
  <c r="M9" i="7"/>
  <c r="N9" i="7"/>
  <c r="O9" i="7"/>
  <c r="P9" i="7"/>
  <c r="Q9" i="7"/>
  <c r="R9" i="7"/>
  <c r="S9" i="7"/>
  <c r="T9" i="7"/>
  <c r="U9" i="7"/>
  <c r="V9" i="7"/>
  <c r="W9" i="7"/>
  <c r="E10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S10" i="7"/>
  <c r="T10" i="7"/>
  <c r="U10" i="7"/>
  <c r="V10" i="7"/>
  <c r="W10" i="7"/>
  <c r="E11" i="7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S11" i="7"/>
  <c r="T11" i="7"/>
  <c r="U11" i="7"/>
  <c r="V11" i="7"/>
  <c r="W11" i="7"/>
  <c r="E12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S12" i="7"/>
  <c r="T12" i="7"/>
  <c r="U12" i="7"/>
  <c r="V12" i="7"/>
  <c r="W12" i="7"/>
  <c r="E13" i="7"/>
  <c r="F13" i="7"/>
  <c r="G13" i="7"/>
  <c r="H13" i="7"/>
  <c r="I13" i="7"/>
  <c r="J13" i="7"/>
  <c r="K13" i="7"/>
  <c r="L13" i="7"/>
  <c r="M13" i="7"/>
  <c r="N13" i="7"/>
  <c r="O13" i="7"/>
  <c r="P13" i="7"/>
  <c r="Q13" i="7"/>
  <c r="R13" i="7"/>
  <c r="S13" i="7"/>
  <c r="T13" i="7"/>
  <c r="U13" i="7"/>
  <c r="V13" i="7"/>
  <c r="W13" i="7"/>
  <c r="E14" i="7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S14" i="7"/>
  <c r="T14" i="7"/>
  <c r="U14" i="7"/>
  <c r="V14" i="7"/>
  <c r="W14" i="7"/>
  <c r="E15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S15" i="7"/>
  <c r="T15" i="7"/>
  <c r="U15" i="7"/>
  <c r="V15" i="7"/>
  <c r="W15" i="7"/>
  <c r="E16" i="7"/>
  <c r="F16" i="7"/>
  <c r="G16" i="7"/>
  <c r="H16" i="7"/>
  <c r="I16" i="7"/>
  <c r="J16" i="7"/>
  <c r="K16" i="7"/>
  <c r="L16" i="7"/>
  <c r="M16" i="7"/>
  <c r="N16" i="7"/>
  <c r="O16" i="7"/>
  <c r="P16" i="7"/>
  <c r="Q16" i="7"/>
  <c r="R16" i="7"/>
  <c r="S16" i="7"/>
  <c r="T16" i="7"/>
  <c r="U16" i="7"/>
  <c r="V16" i="7"/>
  <c r="W16" i="7"/>
  <c r="E17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T17" i="7"/>
  <c r="U17" i="7"/>
  <c r="V17" i="7"/>
  <c r="W17" i="7"/>
  <c r="E18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S18" i="7"/>
  <c r="T18" i="7"/>
  <c r="U18" i="7"/>
  <c r="V18" i="7"/>
  <c r="W18" i="7"/>
  <c r="E19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S19" i="7"/>
  <c r="T19" i="7"/>
  <c r="U19" i="7"/>
  <c r="V19" i="7"/>
  <c r="W19" i="7"/>
  <c r="E20" i="7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S20" i="7"/>
  <c r="T20" i="7"/>
  <c r="U20" i="7"/>
  <c r="V20" i="7"/>
  <c r="W20" i="7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" i="7"/>
  <c r="AD181" i="6" l="1"/>
  <c r="AD117" i="6"/>
  <c r="AD53" i="6"/>
  <c r="AD165" i="6"/>
  <c r="AD101" i="6"/>
  <c r="AD37" i="6"/>
  <c r="AE37" i="6" s="1"/>
  <c r="AG31" i="6" a="1"/>
  <c r="AG31" i="6" s="1"/>
  <c r="AH31" i="6" s="1"/>
  <c r="AD2" i="6"/>
  <c r="AE2" i="6" s="1"/>
  <c r="AD149" i="6"/>
  <c r="AD85" i="6"/>
  <c r="AD21" i="6"/>
  <c r="AG210" i="6" a="1"/>
  <c r="AG210" i="6" s="1"/>
  <c r="AH210" i="6" s="1"/>
  <c r="AD210" i="6"/>
  <c r="AG202" i="6" a="1"/>
  <c r="AG202" i="6" s="1"/>
  <c r="AH202" i="6" s="1"/>
  <c r="AD202" i="6"/>
  <c r="AG198" i="6" a="1"/>
  <c r="AG198" i="6" s="1"/>
  <c r="AH198" i="6" s="1"/>
  <c r="AD198" i="6"/>
  <c r="AG186" i="6" a="1"/>
  <c r="AG186" i="6" s="1"/>
  <c r="AH186" i="6" s="1"/>
  <c r="AD186" i="6"/>
  <c r="AG182" i="6" a="1"/>
  <c r="AG182" i="6" s="1"/>
  <c r="AH182" i="6" s="1"/>
  <c r="AD182" i="6"/>
  <c r="AD174" i="6"/>
  <c r="AG174" i="6" a="1"/>
  <c r="AG174" i="6" s="1"/>
  <c r="AH174" i="6" s="1"/>
  <c r="AG166" i="6" a="1"/>
  <c r="AG166" i="6" s="1"/>
  <c r="AH166" i="6" s="1"/>
  <c r="AD166" i="6"/>
  <c r="AG154" i="6" a="1"/>
  <c r="AG154" i="6" s="1"/>
  <c r="AH154" i="6" s="1"/>
  <c r="AI154" i="6" s="1"/>
  <c r="AD154" i="6"/>
  <c r="AE154" i="6" s="1"/>
  <c r="AG146" i="6" a="1"/>
  <c r="AG146" i="6" s="1"/>
  <c r="AH146" i="6" s="1"/>
  <c r="AD146" i="6"/>
  <c r="AG138" i="6" a="1"/>
  <c r="AG138" i="6" s="1"/>
  <c r="AH138" i="6" s="1"/>
  <c r="AD138" i="6"/>
  <c r="AD122" i="6"/>
  <c r="AG122" i="6" a="1"/>
  <c r="AG122" i="6" s="1"/>
  <c r="AH122" i="6" s="1"/>
  <c r="AG94" i="6" a="1"/>
  <c r="AG94" i="6" s="1"/>
  <c r="AH94" i="6" s="1"/>
  <c r="AD94" i="6"/>
  <c r="AG86" i="6" a="1"/>
  <c r="AG86" i="6" s="1"/>
  <c r="AH86" i="6" s="1"/>
  <c r="AD86" i="6"/>
  <c r="AG78" i="6" a="1"/>
  <c r="AG78" i="6" s="1"/>
  <c r="AH78" i="6" s="1"/>
  <c r="AD78" i="6"/>
  <c r="AG74" i="6" a="1"/>
  <c r="AG74" i="6" s="1"/>
  <c r="AH74" i="6" s="1"/>
  <c r="AD74" i="6"/>
  <c r="AG66" i="6" a="1"/>
  <c r="AG66" i="6" s="1"/>
  <c r="AH66" i="6" s="1"/>
  <c r="AD66" i="6"/>
  <c r="AG62" i="6" a="1"/>
  <c r="AG62" i="6" s="1"/>
  <c r="AH62" i="6" s="1"/>
  <c r="AD62" i="6"/>
  <c r="AG54" i="6" a="1"/>
  <c r="AG54" i="6" s="1"/>
  <c r="AH54" i="6" s="1"/>
  <c r="AD54" i="6"/>
  <c r="AG50" i="6" a="1"/>
  <c r="AG50" i="6" s="1"/>
  <c r="AH50" i="6" s="1"/>
  <c r="AD50" i="6"/>
  <c r="AG46" i="6" a="1"/>
  <c r="AG46" i="6" s="1"/>
  <c r="AH46" i="6" s="1"/>
  <c r="AI46" i="6" s="1"/>
  <c r="AD46" i="6"/>
  <c r="AE46" i="6" s="1"/>
  <c r="AG42" i="6" a="1"/>
  <c r="AG42" i="6" s="1"/>
  <c r="AH42" i="6" s="1"/>
  <c r="AD42" i="6"/>
  <c r="AG34" i="6" a="1"/>
  <c r="AG34" i="6" s="1"/>
  <c r="AH34" i="6" s="1"/>
  <c r="AD34" i="6"/>
  <c r="AG26" i="6" a="1"/>
  <c r="AG26" i="6" s="1"/>
  <c r="AH26" i="6" s="1"/>
  <c r="AD26" i="6"/>
  <c r="AG18" i="6" a="1"/>
  <c r="AG18" i="6" s="1"/>
  <c r="AH18" i="6" s="1"/>
  <c r="AD18" i="6"/>
  <c r="AG6" i="6" a="1"/>
  <c r="AG6" i="6" s="1"/>
  <c r="AH6" i="6" s="1"/>
  <c r="AD6" i="6"/>
  <c r="AI122" i="6"/>
  <c r="AG17" i="6" a="1"/>
  <c r="AG17" i="6" s="1"/>
  <c r="AH17" i="6" s="1"/>
  <c r="AD17" i="6"/>
  <c r="AD13" i="6"/>
  <c r="AG13" i="6" a="1"/>
  <c r="AG13" i="6" s="1"/>
  <c r="AH13" i="6" s="1"/>
  <c r="AG9" i="6" a="1"/>
  <c r="AG9" i="6" s="1"/>
  <c r="AH9" i="6" s="1"/>
  <c r="AD9" i="6"/>
  <c r="AD209" i="6"/>
  <c r="AD193" i="6"/>
  <c r="AD177" i="6"/>
  <c r="AD161" i="6"/>
  <c r="AD145" i="6"/>
  <c r="AD129" i="6"/>
  <c r="AD113" i="6"/>
  <c r="AD97" i="6"/>
  <c r="AD81" i="6"/>
  <c r="AD65" i="6"/>
  <c r="AD49" i="6"/>
  <c r="AD33" i="6"/>
  <c r="AD15" i="6"/>
  <c r="AG151" i="6" a="1"/>
  <c r="AG151" i="6" s="1"/>
  <c r="AH151" i="6" s="1"/>
  <c r="AG102" i="6" a="1"/>
  <c r="AG102" i="6" s="1"/>
  <c r="AH102" i="6" s="1"/>
  <c r="AG38" i="6" a="1"/>
  <c r="AG38" i="6" s="1"/>
  <c r="AH38" i="6" s="1"/>
  <c r="AI38" i="6" s="1"/>
  <c r="AI39" i="6" s="1"/>
  <c r="AI40" i="6" s="1"/>
  <c r="AI41" i="6" s="1"/>
  <c r="AI42" i="6" s="1"/>
  <c r="AI43" i="6" s="1"/>
  <c r="AI44" i="6" s="1"/>
  <c r="AI45" i="6" s="1"/>
  <c r="AJ45" i="6" s="1"/>
  <c r="AD206" i="6"/>
  <c r="AG206" i="6" a="1"/>
  <c r="AG206" i="6" s="1"/>
  <c r="AH206" i="6" s="1"/>
  <c r="AG194" i="6" a="1"/>
  <c r="AG194" i="6" s="1"/>
  <c r="AH194" i="6" s="1"/>
  <c r="AD194" i="6"/>
  <c r="AG130" i="6" a="1"/>
  <c r="AG130" i="6" s="1"/>
  <c r="AH130" i="6" s="1"/>
  <c r="AD130" i="6"/>
  <c r="AG208" i="6" a="1"/>
  <c r="AG208" i="6" s="1"/>
  <c r="AH208" i="6" s="1"/>
  <c r="AD208" i="6"/>
  <c r="AG204" i="6" a="1"/>
  <c r="AG204" i="6" s="1"/>
  <c r="AH204" i="6" s="1"/>
  <c r="AD204" i="6"/>
  <c r="AG200" i="6" a="1"/>
  <c r="AG200" i="6" s="1"/>
  <c r="AH200" i="6" s="1"/>
  <c r="AD200" i="6"/>
  <c r="AG196" i="6" a="1"/>
  <c r="AG196" i="6" s="1"/>
  <c r="AH196" i="6" s="1"/>
  <c r="AD196" i="6"/>
  <c r="AG192" i="6" a="1"/>
  <c r="AG192" i="6" s="1"/>
  <c r="AH192" i="6" s="1"/>
  <c r="AD192" i="6"/>
  <c r="AG188" i="6" a="1"/>
  <c r="AG188" i="6" s="1"/>
  <c r="AH188" i="6" s="1"/>
  <c r="AD188" i="6"/>
  <c r="AG184" i="6" a="1"/>
  <c r="AG184" i="6" s="1"/>
  <c r="AH184" i="6" s="1"/>
  <c r="AD184" i="6"/>
  <c r="AG180" i="6" a="1"/>
  <c r="AG180" i="6" s="1"/>
  <c r="AH180" i="6" s="1"/>
  <c r="AD180" i="6"/>
  <c r="AG176" i="6" a="1"/>
  <c r="AG176" i="6" s="1"/>
  <c r="AH176" i="6" s="1"/>
  <c r="AD176" i="6"/>
  <c r="AG172" i="6" a="1"/>
  <c r="AG172" i="6" s="1"/>
  <c r="AH172" i="6" s="1"/>
  <c r="AI172" i="6" s="1"/>
  <c r="AD172" i="6"/>
  <c r="AE172" i="6" s="1"/>
  <c r="AG168" i="6" a="1"/>
  <c r="AG168" i="6" s="1"/>
  <c r="AH168" i="6" s="1"/>
  <c r="AD168" i="6"/>
  <c r="AG164" i="6" a="1"/>
  <c r="AG164" i="6" s="1"/>
  <c r="AH164" i="6" s="1"/>
  <c r="AD164" i="6"/>
  <c r="AG160" i="6" a="1"/>
  <c r="AG160" i="6" s="1"/>
  <c r="AH160" i="6" s="1"/>
  <c r="AD160" i="6"/>
  <c r="AG156" i="6" a="1"/>
  <c r="AG156" i="6" s="1"/>
  <c r="AH156" i="6" s="1"/>
  <c r="AD156" i="6"/>
  <c r="AG152" i="6" a="1"/>
  <c r="AG152" i="6" s="1"/>
  <c r="AH152" i="6" s="1"/>
  <c r="AD152" i="6"/>
  <c r="AG148" i="6" a="1"/>
  <c r="AG148" i="6" s="1"/>
  <c r="AH148" i="6" s="1"/>
  <c r="AD148" i="6"/>
  <c r="AG144" i="6" a="1"/>
  <c r="AG144" i="6" s="1"/>
  <c r="AH144" i="6" s="1"/>
  <c r="AD144" i="6"/>
  <c r="AG140" i="6" a="1"/>
  <c r="AG140" i="6" s="1"/>
  <c r="AH140" i="6" s="1"/>
  <c r="AD140" i="6"/>
  <c r="AG136" i="6" a="1"/>
  <c r="AG136" i="6" s="1"/>
  <c r="AH136" i="6" s="1"/>
  <c r="AD136" i="6"/>
  <c r="AG132" i="6" a="1"/>
  <c r="AG132" i="6" s="1"/>
  <c r="AH132" i="6" s="1"/>
  <c r="AD132" i="6"/>
  <c r="AG128" i="6" a="1"/>
  <c r="AG128" i="6" s="1"/>
  <c r="AH128" i="6" s="1"/>
  <c r="AD128" i="6"/>
  <c r="AG124" i="6" a="1"/>
  <c r="AG124" i="6" s="1"/>
  <c r="AH124" i="6" s="1"/>
  <c r="AD124" i="6"/>
  <c r="AG120" i="6" a="1"/>
  <c r="AG120" i="6" s="1"/>
  <c r="AH120" i="6" s="1"/>
  <c r="AD120" i="6"/>
  <c r="AG116" i="6" a="1"/>
  <c r="AG116" i="6" s="1"/>
  <c r="AH116" i="6" s="1"/>
  <c r="AD116" i="6"/>
  <c r="AG112" i="6" a="1"/>
  <c r="AG112" i="6" s="1"/>
  <c r="AH112" i="6" s="1"/>
  <c r="AD112" i="6"/>
  <c r="AG104" i="6" a="1"/>
  <c r="AG104" i="6" s="1"/>
  <c r="AH104" i="6" s="1"/>
  <c r="AD104" i="6"/>
  <c r="AG100" i="6" a="1"/>
  <c r="AG100" i="6" s="1"/>
  <c r="AH100" i="6" s="1"/>
  <c r="AD100" i="6"/>
  <c r="AG96" i="6" a="1"/>
  <c r="AG96" i="6" s="1"/>
  <c r="AH96" i="6" s="1"/>
  <c r="AD96" i="6"/>
  <c r="AG92" i="6" a="1"/>
  <c r="AG92" i="6" s="1"/>
  <c r="AH92" i="6" s="1"/>
  <c r="AI92" i="6" s="1"/>
  <c r="AI93" i="6" s="1"/>
  <c r="AI94" i="6" s="1"/>
  <c r="AI95" i="6" s="1"/>
  <c r="AI96" i="6" s="1"/>
  <c r="AI97" i="6" s="1"/>
  <c r="AI98" i="6" s="1"/>
  <c r="AI99" i="6" s="1"/>
  <c r="AI100" i="6" s="1"/>
  <c r="AI101" i="6" s="1"/>
  <c r="AI102" i="6" s="1"/>
  <c r="AI103" i="6" s="1"/>
  <c r="AI104" i="6" s="1"/>
  <c r="AI105" i="6" s="1"/>
  <c r="AJ105" i="6" s="1"/>
  <c r="AD92" i="6"/>
  <c r="AE92" i="6" s="1"/>
  <c r="AG88" i="6" a="1"/>
  <c r="AG88" i="6" s="1"/>
  <c r="AH88" i="6" s="1"/>
  <c r="AD88" i="6"/>
  <c r="AG84" i="6" a="1"/>
  <c r="AG84" i="6" s="1"/>
  <c r="AH84" i="6" s="1"/>
  <c r="AD84" i="6"/>
  <c r="AG80" i="6" a="1"/>
  <c r="AG80" i="6" s="1"/>
  <c r="AH80" i="6" s="1"/>
  <c r="AD80" i="6"/>
  <c r="AG76" i="6" a="1"/>
  <c r="AG76" i="6" s="1"/>
  <c r="AH76" i="6" s="1"/>
  <c r="AD76" i="6"/>
  <c r="AG72" i="6" a="1"/>
  <c r="AG72" i="6" s="1"/>
  <c r="AH72" i="6" s="1"/>
  <c r="AD72" i="6"/>
  <c r="AG68" i="6" a="1"/>
  <c r="AG68" i="6" s="1"/>
  <c r="AH68" i="6" s="1"/>
  <c r="AD68" i="6"/>
  <c r="AG64" i="6" a="1"/>
  <c r="AG64" i="6" s="1"/>
  <c r="AH64" i="6" s="1"/>
  <c r="AD64" i="6"/>
  <c r="AG60" i="6" a="1"/>
  <c r="AG60" i="6" s="1"/>
  <c r="AH60" i="6" s="1"/>
  <c r="AD60" i="6"/>
  <c r="AG56" i="6" a="1"/>
  <c r="AG56" i="6" s="1"/>
  <c r="AH56" i="6" s="1"/>
  <c r="AI56" i="6" s="1"/>
  <c r="AI57" i="6" s="1"/>
  <c r="AD56" i="6"/>
  <c r="AE56" i="6" s="1"/>
  <c r="AG52" i="6" a="1"/>
  <c r="AG52" i="6" s="1"/>
  <c r="AH52" i="6" s="1"/>
  <c r="AD52" i="6"/>
  <c r="AG48" i="6" a="1"/>
  <c r="AG48" i="6" s="1"/>
  <c r="AH48" i="6" s="1"/>
  <c r="AD48" i="6"/>
  <c r="AG44" i="6" a="1"/>
  <c r="AG44" i="6" s="1"/>
  <c r="AH44" i="6" s="1"/>
  <c r="AD44" i="6"/>
  <c r="AG40" i="6" a="1"/>
  <c r="AG40" i="6" s="1"/>
  <c r="AH40" i="6" s="1"/>
  <c r="AD40" i="6"/>
  <c r="AG36" i="6" a="1"/>
  <c r="AG36" i="6" s="1"/>
  <c r="AH36" i="6" s="1"/>
  <c r="AD36" i="6"/>
  <c r="AG32" i="6" a="1"/>
  <c r="AG32" i="6" s="1"/>
  <c r="AH32" i="6" s="1"/>
  <c r="AD32" i="6"/>
  <c r="AG28" i="6" a="1"/>
  <c r="AG28" i="6" s="1"/>
  <c r="AH28" i="6" s="1"/>
  <c r="AD28" i="6"/>
  <c r="AG24" i="6" a="1"/>
  <c r="AG24" i="6" s="1"/>
  <c r="AH24" i="6" s="1"/>
  <c r="AD24" i="6"/>
  <c r="AD20" i="6"/>
  <c r="AG20" i="6" a="1"/>
  <c r="AG20" i="6" s="1"/>
  <c r="AH20" i="6" s="1"/>
  <c r="AG16" i="6" a="1"/>
  <c r="AG16" i="6" s="1"/>
  <c r="AH16" i="6" s="1"/>
  <c r="AI16" i="6" s="1"/>
  <c r="AI17" i="6" s="1"/>
  <c r="AI18" i="6" s="1"/>
  <c r="AD16" i="6"/>
  <c r="AE16" i="6" s="1"/>
  <c r="AE17" i="6" s="1"/>
  <c r="AE18" i="6" s="1"/>
  <c r="AG12" i="6" a="1"/>
  <c r="AG12" i="6" s="1"/>
  <c r="AH12" i="6" s="1"/>
  <c r="AD12" i="6"/>
  <c r="AD8" i="6"/>
  <c r="AG8" i="6" a="1"/>
  <c r="AG8" i="6" s="1"/>
  <c r="AH8" i="6" s="1"/>
  <c r="AD4" i="6"/>
  <c r="AE4" i="6" s="1"/>
  <c r="AG4" i="6" a="1"/>
  <c r="AG4" i="6" s="1"/>
  <c r="AH4" i="6" s="1"/>
  <c r="AI4" i="6" s="1"/>
  <c r="AD205" i="6"/>
  <c r="AD189" i="6"/>
  <c r="AD173" i="6"/>
  <c r="AD157" i="6"/>
  <c r="AD141" i="6"/>
  <c r="AD125" i="6"/>
  <c r="AD109" i="6"/>
  <c r="AD93" i="6"/>
  <c r="AD77" i="6"/>
  <c r="AD61" i="6"/>
  <c r="AD45" i="6"/>
  <c r="AD29" i="6"/>
  <c r="AE29" i="6" s="1"/>
  <c r="AD10" i="6"/>
  <c r="AG162" i="6" a="1"/>
  <c r="AG162" i="6" s="1"/>
  <c r="AH162" i="6" s="1"/>
  <c r="AG178" i="6" a="1"/>
  <c r="AG178" i="6" s="1"/>
  <c r="AH178" i="6" s="1"/>
  <c r="AD178" i="6"/>
  <c r="AG170" i="6" a="1"/>
  <c r="AG170" i="6" s="1"/>
  <c r="AH170" i="6" s="1"/>
  <c r="AD170" i="6"/>
  <c r="AG158" i="6" a="1"/>
  <c r="AG158" i="6" s="1"/>
  <c r="AH158" i="6" s="1"/>
  <c r="AD158" i="6"/>
  <c r="AD150" i="6"/>
  <c r="AG150" i="6" a="1"/>
  <c r="AG150" i="6" s="1"/>
  <c r="AH150" i="6" s="1"/>
  <c r="AG142" i="6" a="1"/>
  <c r="AG142" i="6" s="1"/>
  <c r="AH142" i="6" s="1"/>
  <c r="AD142" i="6"/>
  <c r="AG134" i="6" a="1"/>
  <c r="AG134" i="6" s="1"/>
  <c r="AH134" i="6" s="1"/>
  <c r="AD134" i="6"/>
  <c r="AG126" i="6" a="1"/>
  <c r="AG126" i="6" s="1"/>
  <c r="AH126" i="6" s="1"/>
  <c r="AD126" i="6"/>
  <c r="AG118" i="6" a="1"/>
  <c r="AG118" i="6" s="1"/>
  <c r="AH118" i="6" s="1"/>
  <c r="AD118" i="6"/>
  <c r="AG114" i="6" a="1"/>
  <c r="AG114" i="6" s="1"/>
  <c r="AH114" i="6" s="1"/>
  <c r="AD114" i="6"/>
  <c r="AG110" i="6" a="1"/>
  <c r="AG110" i="6" s="1"/>
  <c r="AH110" i="6" s="1"/>
  <c r="AD110" i="6"/>
  <c r="AG106" i="6" a="1"/>
  <c r="AG106" i="6" s="1"/>
  <c r="AH106" i="6" s="1"/>
  <c r="AI106" i="6" s="1"/>
  <c r="AI107" i="6" s="1"/>
  <c r="AI108" i="6" s="1"/>
  <c r="AI109" i="6" s="1"/>
  <c r="AI110" i="6" s="1"/>
  <c r="AI111" i="6" s="1"/>
  <c r="AI112" i="6" s="1"/>
  <c r="AI113" i="6" s="1"/>
  <c r="AI114" i="6" s="1"/>
  <c r="AI115" i="6" s="1"/>
  <c r="AI116" i="6" s="1"/>
  <c r="AI117" i="6" s="1"/>
  <c r="AI118" i="6" s="1"/>
  <c r="AI119" i="6" s="1"/>
  <c r="AI120" i="6" s="1"/>
  <c r="AJ120" i="6" s="1"/>
  <c r="AD106" i="6"/>
  <c r="AE106" i="6" s="1"/>
  <c r="AG98" i="6" a="1"/>
  <c r="AG98" i="6" s="1"/>
  <c r="AH98" i="6" s="1"/>
  <c r="AD98" i="6"/>
  <c r="AG90" i="6" a="1"/>
  <c r="AG90" i="6" s="1"/>
  <c r="AH90" i="6" s="1"/>
  <c r="AD90" i="6"/>
  <c r="AG82" i="6" a="1"/>
  <c r="AG82" i="6" s="1"/>
  <c r="AH82" i="6" s="1"/>
  <c r="AD82" i="6"/>
  <c r="AG70" i="6" a="1"/>
  <c r="AG70" i="6" s="1"/>
  <c r="AH70" i="6" s="1"/>
  <c r="AD70" i="6"/>
  <c r="AG58" i="6" a="1"/>
  <c r="AG58" i="6" s="1"/>
  <c r="AH58" i="6" s="1"/>
  <c r="AD58" i="6"/>
  <c r="AG30" i="6" a="1"/>
  <c r="AG30" i="6" s="1"/>
  <c r="AH30" i="6" s="1"/>
  <c r="AD30" i="6"/>
  <c r="AG22" i="6" a="1"/>
  <c r="AG22" i="6" s="1"/>
  <c r="AH22" i="6" s="1"/>
  <c r="AI22" i="6" s="1"/>
  <c r="AD22" i="6"/>
  <c r="AE22" i="6" s="1"/>
  <c r="AG14" i="6" a="1"/>
  <c r="AG14" i="6" s="1"/>
  <c r="AH14" i="6" s="1"/>
  <c r="AD14" i="6"/>
  <c r="AG207" i="6" a="1"/>
  <c r="AG207" i="6" s="1"/>
  <c r="AH207" i="6" s="1"/>
  <c r="AD207" i="6"/>
  <c r="AD203" i="6"/>
  <c r="AG203" i="6" a="1"/>
  <c r="AG203" i="6" s="1"/>
  <c r="AH203" i="6" s="1"/>
  <c r="AD199" i="6"/>
  <c r="AG199" i="6" a="1"/>
  <c r="AG199" i="6" s="1"/>
  <c r="AH199" i="6" s="1"/>
  <c r="AG195" i="6" a="1"/>
  <c r="AG195" i="6" s="1"/>
  <c r="AH195" i="6" s="1"/>
  <c r="AD195" i="6"/>
  <c r="AG191" i="6" a="1"/>
  <c r="AG191" i="6" s="1"/>
  <c r="AH191" i="6" s="1"/>
  <c r="AI191" i="6" s="1"/>
  <c r="AD191" i="6"/>
  <c r="AE191" i="6" s="1"/>
  <c r="AE192" i="6" s="1"/>
  <c r="AE193" i="6" s="1"/>
  <c r="AE194" i="6" s="1"/>
  <c r="AD187" i="6"/>
  <c r="AG187" i="6" a="1"/>
  <c r="AG187" i="6" s="1"/>
  <c r="AH187" i="6" s="1"/>
  <c r="AG183" i="6" a="1"/>
  <c r="AG183" i="6" s="1"/>
  <c r="AH183" i="6" s="1"/>
  <c r="AD183" i="6"/>
  <c r="AG179" i="6" a="1"/>
  <c r="AG179" i="6" s="1"/>
  <c r="AH179" i="6" s="1"/>
  <c r="AD179" i="6"/>
  <c r="AG175" i="6" a="1"/>
  <c r="AG175" i="6" s="1"/>
  <c r="AH175" i="6" s="1"/>
  <c r="AD175" i="6"/>
  <c r="AG171" i="6" a="1"/>
  <c r="AG171" i="6" s="1"/>
  <c r="AH171" i="6" s="1"/>
  <c r="AD171" i="6"/>
  <c r="AG167" i="6" a="1"/>
  <c r="AG167" i="6" s="1"/>
  <c r="AH167" i="6" s="1"/>
  <c r="AD167" i="6"/>
  <c r="AD163" i="6"/>
  <c r="AG163" i="6" a="1"/>
  <c r="AG163" i="6" s="1"/>
  <c r="AH163" i="6" s="1"/>
  <c r="AD159" i="6"/>
  <c r="AG159" i="6" a="1"/>
  <c r="AG159" i="6" s="1"/>
  <c r="AH159" i="6" s="1"/>
  <c r="AG155" i="6" a="1"/>
  <c r="AG155" i="6" s="1"/>
  <c r="AH155" i="6" s="1"/>
  <c r="AI155" i="6" s="1"/>
  <c r="AI156" i="6" s="1"/>
  <c r="AI157" i="6" s="1"/>
  <c r="AI158" i="6" s="1"/>
  <c r="AI159" i="6" s="1"/>
  <c r="AI160" i="6" s="1"/>
  <c r="AI161" i="6" s="1"/>
  <c r="AI162" i="6" s="1"/>
  <c r="AI163" i="6" s="1"/>
  <c r="AI164" i="6" s="1"/>
  <c r="AI165" i="6" s="1"/>
  <c r="AI166" i="6" s="1"/>
  <c r="AI167" i="6" s="1"/>
  <c r="AI168" i="6" s="1"/>
  <c r="AI169" i="6" s="1"/>
  <c r="AI170" i="6" s="1"/>
  <c r="AI171" i="6" s="1"/>
  <c r="AJ171" i="6" s="1"/>
  <c r="AD155" i="6"/>
  <c r="AG147" i="6" a="1"/>
  <c r="AG147" i="6" s="1"/>
  <c r="AH147" i="6" s="1"/>
  <c r="AD147" i="6"/>
  <c r="AG143" i="6" a="1"/>
  <c r="AG143" i="6" s="1"/>
  <c r="AH143" i="6" s="1"/>
  <c r="AD143" i="6"/>
  <c r="AG139" i="6" a="1"/>
  <c r="AG139" i="6" s="1"/>
  <c r="AH139" i="6" s="1"/>
  <c r="AD139" i="6"/>
  <c r="AG135" i="6" a="1"/>
  <c r="AG135" i="6" s="1"/>
  <c r="AH135" i="6" s="1"/>
  <c r="AD135" i="6"/>
  <c r="AG131" i="6" a="1"/>
  <c r="AG131" i="6" s="1"/>
  <c r="AH131" i="6" s="1"/>
  <c r="AD131" i="6"/>
  <c r="AG127" i="6" a="1"/>
  <c r="AG127" i="6" s="1"/>
  <c r="AH127" i="6" s="1"/>
  <c r="AD127" i="6"/>
  <c r="AG123" i="6" a="1"/>
  <c r="AG123" i="6" s="1"/>
  <c r="AH123" i="6" s="1"/>
  <c r="AD123" i="6"/>
  <c r="AG119" i="6" a="1"/>
  <c r="AG119" i="6" s="1"/>
  <c r="AH119" i="6" s="1"/>
  <c r="AD119" i="6"/>
  <c r="AG115" i="6" a="1"/>
  <c r="AG115" i="6" s="1"/>
  <c r="AH115" i="6" s="1"/>
  <c r="AD115" i="6"/>
  <c r="AG107" i="6" a="1"/>
  <c r="AG107" i="6" s="1"/>
  <c r="AH107" i="6" s="1"/>
  <c r="AD107" i="6"/>
  <c r="AG103" i="6" a="1"/>
  <c r="AG103" i="6" s="1"/>
  <c r="AH103" i="6" s="1"/>
  <c r="AD103" i="6"/>
  <c r="AG99" i="6" a="1"/>
  <c r="AG99" i="6" s="1"/>
  <c r="AH99" i="6" s="1"/>
  <c r="AD99" i="6"/>
  <c r="AG95" i="6" a="1"/>
  <c r="AG95" i="6" s="1"/>
  <c r="AH95" i="6" s="1"/>
  <c r="AD95" i="6"/>
  <c r="AG91" i="6" a="1"/>
  <c r="AG91" i="6" s="1"/>
  <c r="AH91" i="6" s="1"/>
  <c r="AD91" i="6"/>
  <c r="AG87" i="6" a="1"/>
  <c r="AG87" i="6" s="1"/>
  <c r="AH87" i="6" s="1"/>
  <c r="AD87" i="6"/>
  <c r="AG83" i="6" a="1"/>
  <c r="AG83" i="6" s="1"/>
  <c r="AH83" i="6" s="1"/>
  <c r="AD83" i="6"/>
  <c r="AG79" i="6" a="1"/>
  <c r="AG79" i="6" s="1"/>
  <c r="AH79" i="6" s="1"/>
  <c r="AI79" i="6" s="1"/>
  <c r="AI80" i="6" s="1"/>
  <c r="AI81" i="6" s="1"/>
  <c r="AI82" i="6" s="1"/>
  <c r="AI83" i="6" s="1"/>
  <c r="AI84" i="6" s="1"/>
  <c r="AI85" i="6" s="1"/>
  <c r="AI86" i="6" s="1"/>
  <c r="AI87" i="6" s="1"/>
  <c r="AI88" i="6" s="1"/>
  <c r="AI89" i="6" s="1"/>
  <c r="AI90" i="6" s="1"/>
  <c r="AI91" i="6" s="1"/>
  <c r="AJ91" i="6" s="1"/>
  <c r="AD79" i="6"/>
  <c r="AE79" i="6" s="1"/>
  <c r="AE80" i="6" s="1"/>
  <c r="AE81" i="6" s="1"/>
  <c r="AE82" i="6" s="1"/>
  <c r="AG75" i="6" a="1"/>
  <c r="AG75" i="6" s="1"/>
  <c r="AH75" i="6" s="1"/>
  <c r="AD75" i="6"/>
  <c r="AG71" i="6" a="1"/>
  <c r="AG71" i="6" s="1"/>
  <c r="AH71" i="6" s="1"/>
  <c r="AD71" i="6"/>
  <c r="AG67" i="6" a="1"/>
  <c r="AG67" i="6" s="1"/>
  <c r="AH67" i="6" s="1"/>
  <c r="AI67" i="6" s="1"/>
  <c r="AI68" i="6" s="1"/>
  <c r="AI69" i="6" s="1"/>
  <c r="AI70" i="6" s="1"/>
  <c r="AI71" i="6" s="1"/>
  <c r="AI72" i="6" s="1"/>
  <c r="AI73" i="6" s="1"/>
  <c r="AI74" i="6" s="1"/>
  <c r="AI75" i="6" s="1"/>
  <c r="AI76" i="6" s="1"/>
  <c r="AI77" i="6" s="1"/>
  <c r="AI78" i="6" s="1"/>
  <c r="AJ78" i="6" s="1"/>
  <c r="AD67" i="6"/>
  <c r="AE67" i="6" s="1"/>
  <c r="AE68" i="6" s="1"/>
  <c r="AE69" i="6" s="1"/>
  <c r="AG63" i="6" a="1"/>
  <c r="AG63" i="6" s="1"/>
  <c r="AH63" i="6" s="1"/>
  <c r="AD63" i="6"/>
  <c r="AG59" i="6" a="1"/>
  <c r="AG59" i="6" s="1"/>
  <c r="AH59" i="6" s="1"/>
  <c r="AD59" i="6"/>
  <c r="AG55" i="6" a="1"/>
  <c r="AG55" i="6" s="1"/>
  <c r="AH55" i="6" s="1"/>
  <c r="AD55" i="6"/>
  <c r="AG51" i="6" a="1"/>
  <c r="AG51" i="6" s="1"/>
  <c r="AH51" i="6" s="1"/>
  <c r="AD51" i="6"/>
  <c r="AG47" i="6" a="1"/>
  <c r="AG47" i="6" s="1"/>
  <c r="AH47" i="6" s="1"/>
  <c r="AD47" i="6"/>
  <c r="AG43" i="6" a="1"/>
  <c r="AG43" i="6" s="1"/>
  <c r="AH43" i="6" s="1"/>
  <c r="AD43" i="6"/>
  <c r="AG39" i="6" a="1"/>
  <c r="AG39" i="6" s="1"/>
  <c r="AH39" i="6" s="1"/>
  <c r="AD39" i="6"/>
  <c r="AG35" i="6" a="1"/>
  <c r="AG35" i="6" s="1"/>
  <c r="AH35" i="6" s="1"/>
  <c r="AD35" i="6"/>
  <c r="AG27" i="6" a="1"/>
  <c r="AG27" i="6" s="1"/>
  <c r="AH27" i="6" s="1"/>
  <c r="AD27" i="6"/>
  <c r="AG23" i="6" a="1"/>
  <c r="AG23" i="6" s="1"/>
  <c r="AH23" i="6" s="1"/>
  <c r="AI23" i="6" s="1"/>
  <c r="AI24" i="6" s="1"/>
  <c r="AI25" i="6" s="1"/>
  <c r="AI26" i="6" s="1"/>
  <c r="AI27" i="6" s="1"/>
  <c r="AI28" i="6" s="1"/>
  <c r="AJ28" i="6" s="1"/>
  <c r="AD23" i="6"/>
  <c r="AG19" i="6" a="1"/>
  <c r="AG19" i="6" s="1"/>
  <c r="AH19" i="6" s="1"/>
  <c r="AD19" i="6"/>
  <c r="AG11" i="6" a="1"/>
  <c r="AG11" i="6" s="1"/>
  <c r="AH11" i="6" s="1"/>
  <c r="AI11" i="6" s="1"/>
  <c r="AI12" i="6" s="1"/>
  <c r="AI13" i="6" s="1"/>
  <c r="AI14" i="6" s="1"/>
  <c r="AI15" i="6" s="1"/>
  <c r="AJ15" i="6" s="1"/>
  <c r="AD11" i="6"/>
  <c r="AE11" i="6" s="1"/>
  <c r="AE12" i="6" s="1"/>
  <c r="AG7" i="6" a="1"/>
  <c r="AG7" i="6" s="1"/>
  <c r="AH7" i="6" s="1"/>
  <c r="AI7" i="6" s="1"/>
  <c r="AD7" i="6"/>
  <c r="AE7" i="6" s="1"/>
  <c r="AG3" i="6" a="1"/>
  <c r="AG3" i="6" s="1"/>
  <c r="AH3" i="6" s="1"/>
  <c r="AI3" i="6" s="1"/>
  <c r="AJ3" i="6" s="1"/>
  <c r="AD3" i="6"/>
  <c r="AD201" i="6"/>
  <c r="AD185" i="6"/>
  <c r="AD169" i="6"/>
  <c r="AD153" i="6"/>
  <c r="AD137" i="6"/>
  <c r="AE137" i="6" s="1"/>
  <c r="AD121" i="6"/>
  <c r="AE121" i="6" s="1"/>
  <c r="AE122" i="6" s="1"/>
  <c r="AE123" i="6" s="1"/>
  <c r="AE124" i="6" s="1"/>
  <c r="AE125" i="6" s="1"/>
  <c r="AE126" i="6" s="1"/>
  <c r="AD105" i="6"/>
  <c r="AD89" i="6"/>
  <c r="AD73" i="6"/>
  <c r="AD57" i="6"/>
  <c r="AD41" i="6"/>
  <c r="AD25" i="6"/>
  <c r="AD5" i="6"/>
  <c r="AG190" i="6" a="1"/>
  <c r="AG190" i="6" s="1"/>
  <c r="AH190" i="6" s="1"/>
  <c r="AG111" i="6" a="1"/>
  <c r="AG111" i="6" s="1"/>
  <c r="AH111" i="6" s="1"/>
  <c r="AG108" i="6" a="1"/>
  <c r="AG108" i="6" s="1"/>
  <c r="AH108" i="6" s="1"/>
  <c r="AE3" i="6"/>
  <c r="AF3" i="6" s="1"/>
  <c r="AI8" i="6"/>
  <c r="AI9" i="6" s="1"/>
  <c r="AI10" i="6" s="1"/>
  <c r="AJ10" i="6" s="1"/>
  <c r="AI192" i="6"/>
  <c r="AI193" i="6" s="1"/>
  <c r="AI194" i="6" s="1"/>
  <c r="AI195" i="6" s="1"/>
  <c r="AI196" i="6" s="1"/>
  <c r="AI197" i="6" s="1"/>
  <c r="AI198" i="6" s="1"/>
  <c r="AI199" i="6" s="1"/>
  <c r="AI200" i="6" s="1"/>
  <c r="AI201" i="6" s="1"/>
  <c r="AI202" i="6" s="1"/>
  <c r="AI203" i="6" s="1"/>
  <c r="AI204" i="6" s="1"/>
  <c r="AI205" i="6" s="1"/>
  <c r="AI206" i="6" s="1"/>
  <c r="AI207" i="6" s="1"/>
  <c r="AI208" i="6" s="1"/>
  <c r="AI209" i="6" s="1"/>
  <c r="AI210" i="6" s="1"/>
  <c r="AJ210" i="6" s="1"/>
  <c r="AI173" i="6"/>
  <c r="AI174" i="6" s="1"/>
  <c r="AI138" i="6"/>
  <c r="AI30" i="6"/>
  <c r="AI31" i="6" s="1"/>
  <c r="AI32" i="6" s="1"/>
  <c r="AI33" i="6" s="1"/>
  <c r="AI34" i="6" s="1"/>
  <c r="AI5" i="6"/>
  <c r="AI6" i="6" s="1"/>
  <c r="AJ6" i="6" s="1"/>
  <c r="AE30" i="6"/>
  <c r="AE31" i="6" s="1"/>
  <c r="AE70" i="6"/>
  <c r="AE71" i="6" s="1"/>
  <c r="AE72" i="6" s="1"/>
  <c r="AE38" i="6"/>
  <c r="AE39" i="6" s="1"/>
  <c r="AE40" i="6" s="1"/>
  <c r="U22" i="7"/>
  <c r="Q22" i="7"/>
  <c r="M22" i="7"/>
  <c r="I22" i="7"/>
  <c r="E22" i="7"/>
  <c r="T22" i="7"/>
  <c r="P22" i="7"/>
  <c r="L22" i="7"/>
  <c r="H22" i="7"/>
  <c r="AC22" i="7"/>
  <c r="Y22" i="7"/>
  <c r="D22" i="7"/>
  <c r="W22" i="7"/>
  <c r="S22" i="7"/>
  <c r="O22" i="7"/>
  <c r="K22" i="7"/>
  <c r="G22" i="7"/>
  <c r="Z22" i="7"/>
  <c r="AB22" i="7"/>
  <c r="X22" i="7"/>
  <c r="V22" i="7"/>
  <c r="R22" i="7"/>
  <c r="N22" i="7"/>
  <c r="J22" i="7"/>
  <c r="F22" i="7"/>
  <c r="AA22" i="7"/>
  <c r="AE41" i="6" l="1"/>
  <c r="AE42" i="6" s="1"/>
  <c r="AE43" i="6" s="1"/>
  <c r="AE44" i="6" s="1"/>
  <c r="AE45" i="6" s="1"/>
  <c r="AF45" i="6" s="1"/>
  <c r="AI175" i="6"/>
  <c r="AI176" i="6" s="1"/>
  <c r="AI177" i="6" s="1"/>
  <c r="AI178" i="6" s="1"/>
  <c r="AI179" i="6" s="1"/>
  <c r="AI180" i="6" s="1"/>
  <c r="AI181" i="6" s="1"/>
  <c r="AI182" i="6" s="1"/>
  <c r="AI183" i="6" s="1"/>
  <c r="AI184" i="6" s="1"/>
  <c r="AI185" i="6" s="1"/>
  <c r="AI186" i="6" s="1"/>
  <c r="AI187" i="6" s="1"/>
  <c r="AI188" i="6" s="1"/>
  <c r="AI189" i="6" s="1"/>
  <c r="AI190" i="6" s="1"/>
  <c r="AJ190" i="6" s="1"/>
  <c r="AE127" i="6"/>
  <c r="AE128" i="6" s="1"/>
  <c r="AE129" i="6" s="1"/>
  <c r="AE130" i="6" s="1"/>
  <c r="AE131" i="6" s="1"/>
  <c r="AE132" i="6" s="1"/>
  <c r="AE133" i="6" s="1"/>
  <c r="AE134" i="6" s="1"/>
  <c r="AE135" i="6" s="1"/>
  <c r="AE136" i="6" s="1"/>
  <c r="AF136" i="6" s="1"/>
  <c r="AE8" i="6"/>
  <c r="AE9" i="6" s="1"/>
  <c r="AE10" i="6" s="1"/>
  <c r="AF10" i="6" s="1"/>
  <c r="AE83" i="6"/>
  <c r="AE84" i="6" s="1"/>
  <c r="AE85" i="6" s="1"/>
  <c r="AE86" i="6" s="1"/>
  <c r="AE87" i="6" s="1"/>
  <c r="AE88" i="6" s="1"/>
  <c r="AE89" i="6" s="1"/>
  <c r="AE90" i="6" s="1"/>
  <c r="AE91" i="6" s="1"/>
  <c r="AF91" i="6" s="1"/>
  <c r="AE195" i="6"/>
  <c r="AE196" i="6" s="1"/>
  <c r="AE197" i="6" s="1"/>
  <c r="AE198" i="6" s="1"/>
  <c r="AE199" i="6" s="1"/>
  <c r="AE200" i="6" s="1"/>
  <c r="AE201" i="6" s="1"/>
  <c r="AE202" i="6" s="1"/>
  <c r="AE203" i="6" s="1"/>
  <c r="AE204" i="6" s="1"/>
  <c r="AE205" i="6" s="1"/>
  <c r="AE206" i="6" s="1"/>
  <c r="AE207" i="6" s="1"/>
  <c r="AE208" i="6" s="1"/>
  <c r="AE209" i="6" s="1"/>
  <c r="AE210" i="6" s="1"/>
  <c r="AF210" i="6" s="1"/>
  <c r="AE23" i="6"/>
  <c r="AE24" i="6" s="1"/>
  <c r="AE25" i="6" s="1"/>
  <c r="AE26" i="6" s="1"/>
  <c r="AE19" i="6"/>
  <c r="AE20" i="6" s="1"/>
  <c r="AE21" i="6" s="1"/>
  <c r="AF21" i="6" s="1"/>
  <c r="AE173" i="6"/>
  <c r="AE174" i="6" s="1"/>
  <c r="AE175" i="6" s="1"/>
  <c r="AE176" i="6" s="1"/>
  <c r="AE177" i="6" s="1"/>
  <c r="AE178" i="6" s="1"/>
  <c r="AE179" i="6" s="1"/>
  <c r="AE180" i="6" s="1"/>
  <c r="AE181" i="6" s="1"/>
  <c r="AE182" i="6" s="1"/>
  <c r="AE183" i="6" s="1"/>
  <c r="AE184" i="6" s="1"/>
  <c r="AE185" i="6" s="1"/>
  <c r="AE186" i="6" s="1"/>
  <c r="AE187" i="6" s="1"/>
  <c r="AE188" i="6" s="1"/>
  <c r="AE189" i="6" s="1"/>
  <c r="AE190" i="6" s="1"/>
  <c r="AF190" i="6" s="1"/>
  <c r="AE138" i="6"/>
  <c r="AE139" i="6" s="1"/>
  <c r="AE140" i="6" s="1"/>
  <c r="AE141" i="6" s="1"/>
  <c r="AE142" i="6" s="1"/>
  <c r="AE143" i="6" s="1"/>
  <c r="AE144" i="6" s="1"/>
  <c r="AE145" i="6" s="1"/>
  <c r="AE146" i="6" s="1"/>
  <c r="AE147" i="6" s="1"/>
  <c r="AE148" i="6" s="1"/>
  <c r="AE149" i="6" s="1"/>
  <c r="AE150" i="6" s="1"/>
  <c r="AE151" i="6" s="1"/>
  <c r="AE152" i="6" s="1"/>
  <c r="AE153" i="6" s="1"/>
  <c r="AF153" i="6" s="1"/>
  <c r="AE155" i="6"/>
  <c r="AI19" i="6"/>
  <c r="AI20" i="6" s="1"/>
  <c r="AI21" i="6" s="1"/>
  <c r="AJ21" i="6" s="1"/>
  <c r="AI58" i="6"/>
  <c r="AI59" i="6" s="1"/>
  <c r="AI60" i="6" s="1"/>
  <c r="AI61" i="6" s="1"/>
  <c r="AI62" i="6" s="1"/>
  <c r="AI63" i="6" s="1"/>
  <c r="AI64" i="6" s="1"/>
  <c r="AI65" i="6" s="1"/>
  <c r="AI66" i="6" s="1"/>
  <c r="AJ66" i="6" s="1"/>
  <c r="AI35" i="6"/>
  <c r="AI36" i="6" s="1"/>
  <c r="AJ36" i="6" s="1"/>
  <c r="AE73" i="6"/>
  <c r="AE74" i="6" s="1"/>
  <c r="AE75" i="6" s="1"/>
  <c r="AE76" i="6" s="1"/>
  <c r="AE77" i="6" s="1"/>
  <c r="AE78" i="6" s="1"/>
  <c r="AF78" i="6" s="1"/>
  <c r="AE57" i="6"/>
  <c r="AE58" i="6" s="1"/>
  <c r="AE59" i="6" s="1"/>
  <c r="AE60" i="6" s="1"/>
  <c r="AE61" i="6" s="1"/>
  <c r="AE62" i="6" s="1"/>
  <c r="AE63" i="6" s="1"/>
  <c r="AE64" i="6" s="1"/>
  <c r="AE65" i="6" s="1"/>
  <c r="AE66" i="6" s="1"/>
  <c r="AF66" i="6" s="1"/>
  <c r="AE47" i="6"/>
  <c r="AE48" i="6" s="1"/>
  <c r="AE49" i="6" s="1"/>
  <c r="AE50" i="6" s="1"/>
  <c r="AE51" i="6" s="1"/>
  <c r="AE52" i="6" s="1"/>
  <c r="AE53" i="6" s="1"/>
  <c r="AE54" i="6" s="1"/>
  <c r="AE55" i="6" s="1"/>
  <c r="AF55" i="6" s="1"/>
  <c r="AE156" i="6"/>
  <c r="AE157" i="6" s="1"/>
  <c r="AE158" i="6" s="1"/>
  <c r="AE159" i="6" s="1"/>
  <c r="AE160" i="6" s="1"/>
  <c r="AE161" i="6" s="1"/>
  <c r="AE162" i="6" s="1"/>
  <c r="AE163" i="6" s="1"/>
  <c r="AE164" i="6" s="1"/>
  <c r="AE165" i="6" s="1"/>
  <c r="AE166" i="6" s="1"/>
  <c r="AE167" i="6" s="1"/>
  <c r="AE168" i="6" s="1"/>
  <c r="AE169" i="6" s="1"/>
  <c r="AE170" i="6" s="1"/>
  <c r="AE171" i="6" s="1"/>
  <c r="AF171" i="6" s="1"/>
  <c r="AE32" i="6"/>
  <c r="AE33" i="6" s="1"/>
  <c r="AE34" i="6" s="1"/>
  <c r="AE35" i="6" s="1"/>
  <c r="AE36" i="6" s="1"/>
  <c r="AF36" i="6" s="1"/>
  <c r="AI123" i="6"/>
  <c r="AI124" i="6" s="1"/>
  <c r="AI125" i="6" s="1"/>
  <c r="AI126" i="6" s="1"/>
  <c r="AI127" i="6" s="1"/>
  <c r="AI128" i="6" s="1"/>
  <c r="AI129" i="6" s="1"/>
  <c r="AI130" i="6" s="1"/>
  <c r="AI131" i="6" s="1"/>
  <c r="AI132" i="6" s="1"/>
  <c r="AI133" i="6" s="1"/>
  <c r="AI134" i="6" s="1"/>
  <c r="AI135" i="6" s="1"/>
  <c r="AI136" i="6" s="1"/>
  <c r="AJ136" i="6" s="1"/>
  <c r="AI47" i="6"/>
  <c r="AI48" i="6" s="1"/>
  <c r="AI49" i="6" s="1"/>
  <c r="AI50" i="6" s="1"/>
  <c r="AI51" i="6" s="1"/>
  <c r="AI52" i="6" s="1"/>
  <c r="AI53" i="6" s="1"/>
  <c r="AI54" i="6" s="1"/>
  <c r="AI55" i="6" s="1"/>
  <c r="AJ55" i="6" s="1"/>
  <c r="AE27" i="6"/>
  <c r="AE28" i="6" s="1"/>
  <c r="AF28" i="6" s="1"/>
  <c r="AI139" i="6"/>
  <c r="AI140" i="6" s="1"/>
  <c r="AI141" i="6" s="1"/>
  <c r="AI142" i="6" s="1"/>
  <c r="AI143" i="6" s="1"/>
  <c r="AI144" i="6" s="1"/>
  <c r="AI145" i="6" s="1"/>
  <c r="AI146" i="6" s="1"/>
  <c r="AI147" i="6" s="1"/>
  <c r="AI148" i="6" s="1"/>
  <c r="AI149" i="6" s="1"/>
  <c r="AI150" i="6" s="1"/>
  <c r="AI151" i="6" s="1"/>
  <c r="AI152" i="6" s="1"/>
  <c r="AI153" i="6" s="1"/>
  <c r="AJ153" i="6" s="1"/>
  <c r="AE13" i="6"/>
  <c r="AE14" i="6" s="1"/>
  <c r="AE15" i="6" s="1"/>
  <c r="AF15" i="6" s="1"/>
  <c r="AE107" i="6"/>
  <c r="AE108" i="6" s="1"/>
  <c r="AE109" i="6" s="1"/>
  <c r="AE110" i="6" s="1"/>
  <c r="AE111" i="6" s="1"/>
  <c r="AE112" i="6" s="1"/>
  <c r="AE113" i="6" s="1"/>
  <c r="AE114" i="6" s="1"/>
  <c r="AE115" i="6" s="1"/>
  <c r="AE116" i="6" s="1"/>
  <c r="AE117" i="6" s="1"/>
  <c r="AE118" i="6" s="1"/>
  <c r="AE119" i="6" s="1"/>
  <c r="AE120" i="6" s="1"/>
  <c r="AF120" i="6" s="1"/>
  <c r="AE93" i="6"/>
  <c r="AE94" i="6" s="1"/>
  <c r="AE95" i="6" s="1"/>
  <c r="AE96" i="6" s="1"/>
  <c r="AE97" i="6" s="1"/>
  <c r="AE98" i="6" s="1"/>
  <c r="AE99" i="6" s="1"/>
  <c r="AE100" i="6" s="1"/>
  <c r="AE101" i="6" s="1"/>
  <c r="AE102" i="6" s="1"/>
  <c r="AE103" i="6" s="1"/>
  <c r="AE104" i="6" s="1"/>
  <c r="AE105" i="6" s="1"/>
  <c r="AF105" i="6" s="1"/>
  <c r="AE5" i="6"/>
  <c r="AE6" i="6" s="1"/>
  <c r="AF6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<sst xmlns="http://schemas.openxmlformats.org/spreadsheetml/2006/main" count="166" uniqueCount="95">
  <si>
    <t>aardvark</t>
  </si>
  <si>
    <t>max</t>
  </si>
  <si>
    <t>a</t>
  </si>
  <si>
    <t>Word Len</t>
  </si>
  <si>
    <t>Char Position</t>
  </si>
  <si>
    <t># Words Used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</si>
  <si>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</si>
  <si>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</si>
  <si>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</si>
  <si>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</si>
  <si>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</si>
  <si>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</si>
  <si>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</si>
  <si>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</si>
  <si>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</si>
  <si>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</si>
  <si>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</si>
  <si>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</si>
  <si>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</si>
  <si>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</si>
  <si>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</si>
  <si>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</si>
  <si>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</si>
  <si>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</si>
  <si>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</si>
  <si>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</si>
  <si>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</si>
  <si>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</si>
  <si>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</si>
  <si>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</si>
  <si>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</si>
  <si>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Example</t>
  </si>
  <si>
    <t>ac</t>
  </si>
  <si>
    <t>aah</t>
  </si>
  <si>
    <t>aahs</t>
  </si>
  <si>
    <t>aahed</t>
  </si>
  <si>
    <t>aahing</t>
  </si>
  <si>
    <t>aarrghh</t>
  </si>
  <si>
    <t>aardvarks</t>
  </si>
  <si>
    <t>aardwolves</t>
  </si>
  <si>
    <t>abacination</t>
  </si>
  <si>
    <t>abalienating</t>
  </si>
  <si>
    <t>abbreviatable</t>
  </si>
  <si>
    <t>abarticulation</t>
  </si>
  <si>
    <t>abdominocardiac</t>
  </si>
  <si>
    <t>abdominoanterior</t>
  </si>
  <si>
    <t>abdominoposterior</t>
  </si>
  <si>
    <t>absentmindednesses</t>
  </si>
  <si>
    <t>abdominohysterotomy</t>
  </si>
  <si>
    <t>abdominohysterectomy</t>
  </si>
  <si>
    <t>Averages:</t>
  </si>
  <si>
    <t>maxchar</t>
  </si>
  <si>
    <t>Most Common</t>
  </si>
  <si>
    <t>2nd max</t>
  </si>
  <si>
    <t>2nd Most Common</t>
  </si>
  <si>
    <t>"Word" of most common letters</t>
  </si>
  <si>
    <t>ey</t>
  </si>
  <si>
    <t>yl</t>
  </si>
  <si>
    <t>aoe</t>
  </si>
  <si>
    <t>tet</t>
  </si>
  <si>
    <t>soes</t>
  </si>
  <si>
    <t>paae</t>
  </si>
  <si>
    <t>saaes</t>
  </si>
  <si>
    <t>corae</t>
  </si>
  <si>
    <t>saries</t>
  </si>
  <si>
    <t>ceaaie</t>
  </si>
  <si>
    <t>sarties</t>
  </si>
  <si>
    <t>ceaaene</t>
  </si>
  <si>
    <t>sarelies</t>
  </si>
  <si>
    <t>ceaaiene</t>
  </si>
  <si>
    <t>sereeiies</t>
  </si>
  <si>
    <t>paariaene</t>
  </si>
  <si>
    <t>sereeiaies</t>
  </si>
  <si>
    <t>ponioatene</t>
  </si>
  <si>
    <t>peneoeaties</t>
  </si>
  <si>
    <t>snrrroiaone</t>
  </si>
  <si>
    <t>pnneoieaties</t>
  </si>
  <si>
    <t>ueerroiiaene</t>
  </si>
  <si>
    <t>pnneroiiatils</t>
  </si>
  <si>
    <t>uoeroeorineiy</t>
  </si>
  <si>
    <t>pnneoooiiatiss</t>
  </si>
  <si>
    <t>uoerreeotinely</t>
  </si>
  <si>
    <t>pnnerootiianiss</t>
  </si>
  <si>
    <t>uoeroeeettitely</t>
  </si>
  <si>
    <t>pnnerooitiianiss</t>
  </si>
  <si>
    <t>uoeroeerattitely</t>
  </si>
  <si>
    <t>pnnerooeitiianiss</t>
  </si>
  <si>
    <t>noeroreoaioletely</t>
  </si>
  <si>
    <t>pneeroooeioiianiss</t>
  </si>
  <si>
    <t>nonroeerottoletely</t>
  </si>
  <si>
    <t>pneeroooeoaoiianiss</t>
  </si>
  <si>
    <t>nonroreeieittocaely</t>
  </si>
  <si>
    <t>pneeooooooeaaiicaily</t>
  </si>
  <si>
    <t>aotrrrreeeriotoaness</t>
  </si>
  <si>
    <t>"Word" of 2nd most common letters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</si>
</sst>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7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8">
    <xf numFmtId="0" fontId="0" fillId="0" borderId="0" xfId="0"/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/>
    <xf numFmtId="0" fontId="4" fillId="0" borderId="0" xfId="0" applyFont="1" applyAlignment="1">
      <alignment horizontal="center" vertical="center"/>
    </xf>
    <xf numFmtId="164" fontId="0" fillId="0" borderId="0" xfId="1" applyNumberFormat="1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4" fillId="0" borderId="0" xfId="0" applyFont="1" applyAlignment="1">
      <alignment horizontal="right" vertical="center" wrapText="1"/>
    </xf>
    <xf numFmtId="0" fontId="6" fillId="0" borderId="0" xfId="0" applyFont="1" applyAlignment="1">
      <alignment vertical="center"/>
    </xf>
    <xf numFmtId="0" fontId="6" fillId="0" borderId="0" xfId="0" applyFont="1" applyAlignment="1">
      <alignment vertical="center" wrapText="1"/>
    </xf>
    <xf numFmtId="3" fontId="0" fillId="0" borderId="0" xfId="0" applyNumberFormat="1" applyAlignment="1">
      <alignment horizontal="center" vertical="center" wrapText="1"/>
    </xf>
    <xf numFmtId="3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3" fillId="0" borderId="0" xfId="0" applyFont="1"/>
    <xf numFmtId="0" fontId="0" fillId="0" borderId="1" xfId="0" applyBorder="1"/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4" fillId="0" borderId="0" xfId="0" applyFont="1" applyAlignment="1">
      <alignment horizontal="center" wrapText="1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18A9E-345F-4BE6-98E1-C257080A27A6}">
  <dimension ref="A1:AJ210"/>
  <sheetViews>
    <sheetView showGridLines="0" tabSelected="1" workbookViewId="0">
      <selection activeCell="H8" sqref="H8"/>
    </sheetView>
  </sheetViews>
  <sheetFormatPr defaultRowHeight="15" x14ac:dyDescent="0.25"/>
  <cols>
    <col min="3" max="28" width="6.85546875" customWidth="1"/>
    <col min="29" max="29" width="7.5703125" customWidth="1"/>
    <col min="30" max="31" width="9.140625" customWidth="1"/>
    <col min="33" max="33" width="7.5703125" customWidth="1"/>
  </cols>
  <sheetData>
    <row r="1" spans="1:36" ht="45.75" thickBot="1" x14ac:dyDescent="0.3">
      <c r="A1" s="1" t="s">
        <v>3</v>
      </c>
      <c r="B1" s="1" t="s">
        <v>4</v>
      </c>
      <c r="C1" s="1" t="s">
        <v>2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  <c r="R1" s="1" t="s">
        <v>20</v>
      </c>
      <c r="S1" s="1" t="s">
        <v>21</v>
      </c>
      <c r="T1" s="1" t="s">
        <v>22</v>
      </c>
      <c r="U1" s="1" t="s">
        <v>23</v>
      </c>
      <c r="V1" s="1" t="s">
        <v>24</v>
      </c>
      <c r="W1" s="1" t="s">
        <v>25</v>
      </c>
      <c r="X1" s="1" t="s">
        <v>26</v>
      </c>
      <c r="Y1" s="1" t="s">
        <v>27</v>
      </c>
      <c r="Z1" s="1" t="s">
        <v>28</v>
      </c>
      <c r="AA1" s="1" t="s">
        <v>29</v>
      </c>
      <c r="AB1" s="1" t="s">
        <v>30</v>
      </c>
      <c r="AC1" s="13" t="s">
        <v>1</v>
      </c>
      <c r="AD1" s="13" t="s">
        <v>51</v>
      </c>
      <c r="AE1" s="14"/>
      <c r="AF1" s="13" t="s">
        <v>52</v>
      </c>
      <c r="AG1" s="13" t="s">
        <v>53</v>
      </c>
      <c r="AH1" s="13" t="s">
        <v>51</v>
      </c>
      <c r="AI1" s="14"/>
      <c r="AJ1" s="13" t="s">
        <v>54</v>
      </c>
    </row>
    <row r="2" spans="1:36" x14ac:dyDescent="0.25">
      <c r="A2" s="2">
        <v>2</v>
      </c>
      <c r="B2" s="2">
        <v>1</v>
      </c>
      <c r="C2" s="2">
        <v>8.04597701149425E-2</v>
      </c>
      <c r="D2" s="2">
        <v>1.1494252873563199E-2</v>
      </c>
      <c r="E2" s="2">
        <v>2.2988505747126398E-2</v>
      </c>
      <c r="F2" s="2">
        <v>1.1494252873563199E-2</v>
      </c>
      <c r="G2" s="2">
        <v>0.10344827586206801</v>
      </c>
      <c r="H2" s="2">
        <v>4.5977011494252797E-2</v>
      </c>
      <c r="I2" s="2">
        <v>1.1494252873563199E-2</v>
      </c>
      <c r="J2" s="2">
        <v>0</v>
      </c>
      <c r="K2" s="2">
        <v>0.10344827586206801</v>
      </c>
      <c r="L2" s="2">
        <v>4.5977011494252797E-2</v>
      </c>
      <c r="M2" s="2">
        <v>2.2988505747126398E-2</v>
      </c>
      <c r="N2" s="2">
        <v>4.5977011494252797E-2</v>
      </c>
      <c r="O2" s="2">
        <v>1.1494252873563199E-2</v>
      </c>
      <c r="P2" s="2">
        <v>1.1494252873563199E-2</v>
      </c>
      <c r="Q2" s="2">
        <v>5.7471264367816001E-2</v>
      </c>
      <c r="R2" s="2">
        <v>0</v>
      </c>
      <c r="S2" s="2">
        <v>4.5977011494252797E-2</v>
      </c>
      <c r="T2" s="2">
        <v>2.2988505747126398E-2</v>
      </c>
      <c r="U2" s="2">
        <v>4.5977011494252797E-2</v>
      </c>
      <c r="V2" s="2">
        <v>4.5977011494252797E-2</v>
      </c>
      <c r="W2" s="2">
        <v>2.2988505747126398E-2</v>
      </c>
      <c r="X2" s="2">
        <v>0</v>
      </c>
      <c r="Y2" s="2">
        <v>3.4482758620689599E-2</v>
      </c>
      <c r="Z2" s="2">
        <v>8.04597701149425E-2</v>
      </c>
      <c r="AA2" s="2">
        <v>9.1954022988505704E-2</v>
      </c>
      <c r="AB2" s="2">
        <v>2.2988505747126398E-2</v>
      </c>
      <c r="AC2" s="15">
        <f>MAX($C2:$AB2)</f>
        <v>0.10344827586206801</v>
      </c>
      <c r="AD2" s="16" t="str">
        <f>INDEX($C$1:$AB$1,MATCH(AC2,$C2:$AB2,0))</f>
        <v>e</v>
      </c>
      <c r="AE2" s="17" t="str">
        <f>IF($A2&lt;&gt;$A1,AD2,AE1&amp;AD2)</f>
        <v>e</v>
      </c>
      <c r="AF2" s="18" t="str">
        <f>IF($A2&lt;&gt;$A3,AE2,"")</f>
        <v/>
      </c>
      <c r="AG2" s="15" cm="1">
        <f t="array" ref="AG2">MAX(IF($C2:$AB2&lt;AC2,$C2:$AB2))</f>
        <v>9.1954022988505704E-2</v>
      </c>
      <c r="AH2" s="16" t="str">
        <f>INDEX($C$1:$AB$1,MATCH(AG2,$C2:$AB2,0))</f>
        <v>y</v>
      </c>
      <c r="AI2" s="17" t="str">
        <f>IF($A2&lt;&gt;$A1,AH2,AI1&amp;AH2)</f>
        <v>y</v>
      </c>
      <c r="AJ2" s="18" t="str">
        <f>IF($A2&lt;&gt;$A3,AI2,"")</f>
        <v/>
      </c>
    </row>
    <row r="3" spans="1:36" x14ac:dyDescent="0.25">
      <c r="A3" s="2">
        <v>2</v>
      </c>
      <c r="B3" s="2">
        <v>2</v>
      </c>
      <c r="C3" s="2">
        <v>1.1494252873563199E-2</v>
      </c>
      <c r="D3" s="2">
        <v>0</v>
      </c>
      <c r="E3" s="2">
        <v>3.4482758620689599E-2</v>
      </c>
      <c r="F3" s="2">
        <v>4.5977011494252797E-2</v>
      </c>
      <c r="G3" s="2">
        <v>6.8965517241379296E-2</v>
      </c>
      <c r="H3" s="2">
        <v>0</v>
      </c>
      <c r="I3" s="2">
        <v>3.4482758620689599E-2</v>
      </c>
      <c r="J3" s="2">
        <v>4.5977011494252797E-2</v>
      </c>
      <c r="K3" s="2">
        <v>3.4482758620689599E-2</v>
      </c>
      <c r="L3" s="2">
        <v>0</v>
      </c>
      <c r="M3" s="2">
        <v>5.7471264367816001E-2</v>
      </c>
      <c r="N3" s="2">
        <v>9.1954022988505704E-2</v>
      </c>
      <c r="O3" s="2">
        <v>3.4482758620689599E-2</v>
      </c>
      <c r="P3" s="2">
        <v>8.04597701149425E-2</v>
      </c>
      <c r="Q3" s="2">
        <v>4.5977011494252797E-2</v>
      </c>
      <c r="R3" s="2">
        <v>0</v>
      </c>
      <c r="S3" s="2">
        <v>0</v>
      </c>
      <c r="T3" s="2">
        <v>6.8965517241379296E-2</v>
      </c>
      <c r="U3" s="2">
        <v>8.04597701149425E-2</v>
      </c>
      <c r="V3" s="2">
        <v>6.8965517241379296E-2</v>
      </c>
      <c r="W3" s="2">
        <v>2.2988505747126398E-2</v>
      </c>
      <c r="X3" s="2">
        <v>1.1494252873563199E-2</v>
      </c>
      <c r="Y3" s="2">
        <v>1.1494252873563199E-2</v>
      </c>
      <c r="Z3" s="2">
        <v>3.4482758620689599E-2</v>
      </c>
      <c r="AA3" s="2">
        <v>0.10344827586206801</v>
      </c>
      <c r="AB3" s="2">
        <v>1.1494252873563199E-2</v>
      </c>
      <c r="AC3" s="19">
        <f t="shared" ref="AC3:AC66" si="0">MAX(C3:AB3)</f>
        <v>0.10344827586206801</v>
      </c>
      <c r="AD3" s="20" t="str">
        <f t="shared" ref="AD3:AD66" si="1">INDEX($C$1:$AB$1,MATCH(AC3,$C3:$AB3,0))</f>
        <v>y</v>
      </c>
      <c r="AE3" s="21" t="str">
        <f>IF($A3&lt;&gt;$A2,AD3,AE2&amp;AD3)</f>
        <v>ey</v>
      </c>
      <c r="AF3" s="22" t="str">
        <f t="shared" ref="AF3:AF66" si="2">IF($A3&lt;&gt;$A4,AE3,"")</f>
        <v>ey</v>
      </c>
      <c r="AG3" s="19" cm="1">
        <f t="array" ref="AG3">MAX(IF($C3:$AB3&lt;AC3,$C3:$AB3))</f>
        <v>9.1954022988505704E-2</v>
      </c>
      <c r="AH3" s="20" t="str">
        <f t="shared" ref="AH3:AH66" si="3">INDEX($C$1:$AB$1,MATCH(AG3,$C3:$AB3,0))</f>
        <v>l</v>
      </c>
      <c r="AI3" s="21" t="str">
        <f t="shared" ref="AI3:AI66" si="4">IF($A3&lt;&gt;$A2,AH3,AI2&amp;AH3)</f>
        <v>yl</v>
      </c>
      <c r="AJ3" s="22" t="str">
        <f t="shared" ref="AJ3:AJ66" si="5">IF($A3&lt;&gt;$A4,AI3,"")</f>
        <v>yl</v>
      </c>
    </row>
    <row r="4" spans="1:36" x14ac:dyDescent="0.25">
      <c r="A4" s="2">
        <v>3</v>
      </c>
      <c r="B4" s="2">
        <v>1</v>
      </c>
      <c r="C4" s="2">
        <v>7.6388888888888895E-2</v>
      </c>
      <c r="D4" s="2">
        <v>3.7698412698412599E-2</v>
      </c>
      <c r="E4" s="2">
        <v>4.36507936507936E-2</v>
      </c>
      <c r="F4" s="2">
        <v>3.3730158730158701E-2</v>
      </c>
      <c r="G4" s="2">
        <v>4.66269841269841E-2</v>
      </c>
      <c r="H4" s="2">
        <v>3.7698412698412599E-2</v>
      </c>
      <c r="I4" s="2">
        <v>4.5634920634920598E-2</v>
      </c>
      <c r="J4" s="2">
        <v>4.4642857142857102E-2</v>
      </c>
      <c r="K4" s="2">
        <v>4.1666666666666602E-2</v>
      </c>
      <c r="L4" s="2">
        <v>2.2817460317460299E-2</v>
      </c>
      <c r="M4" s="2">
        <v>2.8769841269841199E-2</v>
      </c>
      <c r="N4" s="2">
        <v>3.3730158730158701E-2</v>
      </c>
      <c r="O4" s="2">
        <v>3.2738095238095198E-2</v>
      </c>
      <c r="P4" s="2">
        <v>2.2817460317460299E-2</v>
      </c>
      <c r="Q4" s="2">
        <v>6.25E-2</v>
      </c>
      <c r="R4" s="2">
        <v>6.3492063492063405E-2</v>
      </c>
      <c r="S4" s="2">
        <v>9.9206349206349201E-3</v>
      </c>
      <c r="T4" s="2">
        <v>4.0674603174603099E-2</v>
      </c>
      <c r="U4" s="2">
        <v>5.2579365079364997E-2</v>
      </c>
      <c r="V4" s="2">
        <v>6.4484126984126894E-2</v>
      </c>
      <c r="W4" s="2">
        <v>3.07539682539682E-2</v>
      </c>
      <c r="X4" s="2">
        <v>1.9841269841269799E-2</v>
      </c>
      <c r="Y4" s="2">
        <v>4.2658730158730097E-2</v>
      </c>
      <c r="Z4" s="2">
        <v>1.1904761904761901E-2</v>
      </c>
      <c r="AA4" s="2">
        <v>3.6706349206349201E-2</v>
      </c>
      <c r="AB4" s="2">
        <v>1.5873015873015799E-2</v>
      </c>
      <c r="AC4" s="19">
        <f t="shared" si="0"/>
        <v>7.6388888888888895E-2</v>
      </c>
      <c r="AD4" s="20" t="str">
        <f t="shared" si="1"/>
        <v>a</v>
      </c>
      <c r="AE4" s="21" t="str">
        <f t="shared" ref="AE4:AE67" si="6">IF(A4&lt;&gt;A3,AD4,AE3&amp;AD4)</f>
        <v>a</v>
      </c>
      <c r="AF4" s="22" t="str">
        <f t="shared" si="2"/>
        <v/>
      </c>
      <c r="AG4" s="19" cm="1">
        <f t="array" ref="AG4">MAX(IF($C4:$AB4&lt;AC4,$C4:$AB4))</f>
        <v>6.4484126984126894E-2</v>
      </c>
      <c r="AH4" s="20" t="str">
        <f t="shared" si="3"/>
        <v>t</v>
      </c>
      <c r="AI4" s="21" t="str">
        <f t="shared" si="4"/>
        <v>t</v>
      </c>
      <c r="AJ4" s="22" t="str">
        <f t="shared" si="5"/>
        <v/>
      </c>
    </row>
    <row r="5" spans="1:36" x14ac:dyDescent="0.25">
      <c r="A5" s="2">
        <v>3</v>
      </c>
      <c r="B5" s="2">
        <v>2</v>
      </c>
      <c r="C5" s="2">
        <v>9.8214285714285698E-2</v>
      </c>
      <c r="D5" s="2">
        <v>1.9841269841269799E-2</v>
      </c>
      <c r="E5" s="2">
        <v>2.0833333333333301E-2</v>
      </c>
      <c r="F5" s="2">
        <v>1.2896825396825301E-2</v>
      </c>
      <c r="G5" s="2">
        <v>0.102182539682539</v>
      </c>
      <c r="H5" s="2">
        <v>2.0833333333333301E-2</v>
      </c>
      <c r="I5" s="2">
        <v>1.5873015873015799E-2</v>
      </c>
      <c r="J5" s="2">
        <v>4.36507936507936E-2</v>
      </c>
      <c r="K5" s="2">
        <v>9.7222222222222196E-2</v>
      </c>
      <c r="L5" s="2">
        <v>2.97619047619047E-3</v>
      </c>
      <c r="M5" s="2">
        <v>2.0833333333333301E-2</v>
      </c>
      <c r="N5" s="2">
        <v>4.2658730158730097E-2</v>
      </c>
      <c r="O5" s="2">
        <v>1.48809523809523E-2</v>
      </c>
      <c r="P5" s="2">
        <v>3.4722222222222203E-2</v>
      </c>
      <c r="Q5" s="2">
        <v>0.12896825396825301</v>
      </c>
      <c r="R5" s="2">
        <v>2.5793650793650699E-2</v>
      </c>
      <c r="S5" s="2">
        <v>2.97619047619047E-3</v>
      </c>
      <c r="T5" s="2">
        <v>5.0595238095237999E-2</v>
      </c>
      <c r="U5" s="2">
        <v>2.0833333333333301E-2</v>
      </c>
      <c r="V5" s="2">
        <v>3.3730158730158701E-2</v>
      </c>
      <c r="W5" s="2">
        <v>0.101190476190476</v>
      </c>
      <c r="X5" s="2">
        <v>7.9365079365079309E-3</v>
      </c>
      <c r="Y5" s="2">
        <v>2.3809523809523801E-2</v>
      </c>
      <c r="Z5" s="2">
        <v>1.09126984126984E-2</v>
      </c>
      <c r="AA5" s="2">
        <v>4.1666666666666602E-2</v>
      </c>
      <c r="AB5" s="2">
        <v>3.9682539682539602E-3</v>
      </c>
      <c r="AC5" s="19">
        <f t="shared" si="0"/>
        <v>0.12896825396825301</v>
      </c>
      <c r="AD5" s="20" t="str">
        <f t="shared" si="1"/>
        <v>o</v>
      </c>
      <c r="AE5" s="21" t="str">
        <f t="shared" si="6"/>
        <v>ao</v>
      </c>
      <c r="AF5" s="22" t="str">
        <f t="shared" si="2"/>
        <v/>
      </c>
      <c r="AG5" s="19" cm="1">
        <f t="array" ref="AG5">MAX(IF($C5:$AB5&lt;AC5,$C5:$AB5))</f>
        <v>0.102182539682539</v>
      </c>
      <c r="AH5" s="20" t="str">
        <f t="shared" si="3"/>
        <v>e</v>
      </c>
      <c r="AI5" s="21" t="str">
        <f t="shared" si="4"/>
        <v>te</v>
      </c>
      <c r="AJ5" s="22" t="str">
        <f t="shared" si="5"/>
        <v/>
      </c>
    </row>
    <row r="6" spans="1:36" x14ac:dyDescent="0.25">
      <c r="A6" s="2">
        <v>3</v>
      </c>
      <c r="B6" s="2">
        <v>3</v>
      </c>
      <c r="C6" s="2">
        <v>3.1746031746031703E-2</v>
      </c>
      <c r="D6" s="2">
        <v>3.6706349206349201E-2</v>
      </c>
      <c r="E6" s="2">
        <v>1.6865079365079302E-2</v>
      </c>
      <c r="F6" s="2">
        <v>6.4484126984126894E-2</v>
      </c>
      <c r="G6" s="2">
        <v>8.1349206349206296E-2</v>
      </c>
      <c r="H6" s="2">
        <v>3.07539682539682E-2</v>
      </c>
      <c r="I6" s="2">
        <v>6.4484126984126894E-2</v>
      </c>
      <c r="J6" s="2">
        <v>3.9682539682539597E-2</v>
      </c>
      <c r="K6" s="2">
        <v>3.7698412698412599E-2</v>
      </c>
      <c r="L6" s="2">
        <v>7.9365079365079309E-3</v>
      </c>
      <c r="M6" s="2">
        <v>2.8769841269841199E-2</v>
      </c>
      <c r="N6" s="2">
        <v>3.4722222222222203E-2</v>
      </c>
      <c r="O6" s="2">
        <v>3.5714285714285698E-2</v>
      </c>
      <c r="P6" s="2">
        <v>4.5634920634920598E-2</v>
      </c>
      <c r="Q6" s="2">
        <v>3.6706349206349201E-2</v>
      </c>
      <c r="R6" s="2">
        <v>3.5714285714285698E-2</v>
      </c>
      <c r="S6" s="2">
        <v>7.9365079365079309E-3</v>
      </c>
      <c r="T6" s="2">
        <v>5.3571428571428499E-2</v>
      </c>
      <c r="U6" s="2">
        <v>5.4563492063492001E-2</v>
      </c>
      <c r="V6" s="2">
        <v>8.0357142857142794E-2</v>
      </c>
      <c r="W6" s="2">
        <v>2.5793650793650699E-2</v>
      </c>
      <c r="X6" s="2">
        <v>1.9841269841269799E-2</v>
      </c>
      <c r="Y6" s="2">
        <v>3.07539682539682E-2</v>
      </c>
      <c r="Z6" s="2">
        <v>2.9761904761904701E-2</v>
      </c>
      <c r="AA6" s="2">
        <v>4.8611111111111098E-2</v>
      </c>
      <c r="AB6" s="2">
        <v>1.9841269841269799E-2</v>
      </c>
      <c r="AC6" s="19">
        <f t="shared" si="0"/>
        <v>8.1349206349206296E-2</v>
      </c>
      <c r="AD6" s="20" t="str">
        <f t="shared" si="1"/>
        <v>e</v>
      </c>
      <c r="AE6" s="21" t="str">
        <f t="shared" si="6"/>
        <v>aoe</v>
      </c>
      <c r="AF6" s="22" t="str">
        <f t="shared" si="2"/>
        <v>aoe</v>
      </c>
      <c r="AG6" s="19" cm="1">
        <f t="array" ref="AG6">MAX(IF($C6:$AB6&lt;AC6,$C6:$AB6))</f>
        <v>8.0357142857142794E-2</v>
      </c>
      <c r="AH6" s="20" t="str">
        <f t="shared" si="3"/>
        <v>t</v>
      </c>
      <c r="AI6" s="21" t="str">
        <f t="shared" si="4"/>
        <v>tet</v>
      </c>
      <c r="AJ6" s="22" t="str">
        <f t="shared" si="5"/>
        <v>tet</v>
      </c>
    </row>
    <row r="7" spans="1:36" x14ac:dyDescent="0.25">
      <c r="A7" s="2">
        <v>4</v>
      </c>
      <c r="B7" s="2">
        <v>1</v>
      </c>
      <c r="C7" s="2">
        <v>5.8441558441558399E-2</v>
      </c>
      <c r="D7" s="2">
        <v>5.2144824872097602E-2</v>
      </c>
      <c r="E7" s="2">
        <v>5.6277056277056203E-2</v>
      </c>
      <c r="F7" s="2">
        <v>5.3719008264462798E-2</v>
      </c>
      <c r="G7" s="2">
        <v>3.3057851239669402E-2</v>
      </c>
      <c r="H7" s="2">
        <v>4.6438410074773701E-2</v>
      </c>
      <c r="I7" s="2">
        <v>5.0964187327823603E-2</v>
      </c>
      <c r="J7" s="2">
        <v>4.3290043290043198E-2</v>
      </c>
      <c r="K7" s="2">
        <v>2.3219205037386802E-2</v>
      </c>
      <c r="L7" s="2">
        <v>2.2235340417158599E-2</v>
      </c>
      <c r="M7" s="2">
        <v>3.3254624163715003E-2</v>
      </c>
      <c r="N7" s="2">
        <v>4.1912632821723701E-2</v>
      </c>
      <c r="O7" s="2">
        <v>4.7619047619047603E-2</v>
      </c>
      <c r="P7" s="2">
        <v>2.7941755214482399E-2</v>
      </c>
      <c r="Q7" s="2">
        <v>3.0696576151121601E-2</v>
      </c>
      <c r="R7" s="2">
        <v>6.6312475403384405E-2</v>
      </c>
      <c r="S7" s="2">
        <v>7.0838252656434397E-3</v>
      </c>
      <c r="T7" s="2">
        <v>4.11255411255411E-2</v>
      </c>
      <c r="U7" s="2">
        <v>9.20897284533648E-2</v>
      </c>
      <c r="V7" s="2">
        <v>6.1786698150334503E-2</v>
      </c>
      <c r="W7" s="2">
        <v>1.5545060999606401E-2</v>
      </c>
      <c r="X7" s="2">
        <v>1.7709563164108599E-2</v>
      </c>
      <c r="Y7" s="2">
        <v>4.1912632821723701E-2</v>
      </c>
      <c r="Z7" s="2">
        <v>2.55804801259346E-3</v>
      </c>
      <c r="AA7" s="2">
        <v>2.3219205037386802E-2</v>
      </c>
      <c r="AB7" s="2">
        <v>9.4451003541912593E-3</v>
      </c>
      <c r="AC7" s="19">
        <f t="shared" si="0"/>
        <v>9.20897284533648E-2</v>
      </c>
      <c r="AD7" s="20" t="str">
        <f t="shared" si="1"/>
        <v>s</v>
      </c>
      <c r="AE7" s="21" t="str">
        <f t="shared" si="6"/>
        <v>s</v>
      </c>
      <c r="AF7" s="22" t="str">
        <f t="shared" si="2"/>
        <v/>
      </c>
      <c r="AG7" s="19" cm="1">
        <f t="array" ref="AG7">MAX(IF($C7:$AB7&lt;AC7,$C7:$AB7))</f>
        <v>6.6312475403384405E-2</v>
      </c>
      <c r="AH7" s="20" t="str">
        <f t="shared" si="3"/>
        <v>p</v>
      </c>
      <c r="AI7" s="21" t="str">
        <f t="shared" si="4"/>
        <v>p</v>
      </c>
      <c r="AJ7" s="22" t="str">
        <f t="shared" si="5"/>
        <v/>
      </c>
    </row>
    <row r="8" spans="1:36" x14ac:dyDescent="0.25">
      <c r="A8" s="2">
        <v>4</v>
      </c>
      <c r="B8" s="2">
        <v>2</v>
      </c>
      <c r="C8" s="2">
        <v>0.16666666666666599</v>
      </c>
      <c r="D8" s="2">
        <v>6.8870523415977903E-3</v>
      </c>
      <c r="E8" s="2">
        <v>1.45611963793781E-2</v>
      </c>
      <c r="F8" s="2">
        <v>1.0625737898465101E-2</v>
      </c>
      <c r="G8" s="2">
        <v>0.128099173553719</v>
      </c>
      <c r="H8" s="2">
        <v>2.9515938606847602E-3</v>
      </c>
      <c r="I8" s="2">
        <v>8.6580086580086493E-3</v>
      </c>
      <c r="J8" s="2">
        <v>3.1090121999212902E-2</v>
      </c>
      <c r="K8" s="2">
        <v>0.11629279811097901</v>
      </c>
      <c r="L8" s="2">
        <v>1.1806375442739E-3</v>
      </c>
      <c r="M8" s="2">
        <v>1.20031483667847E-2</v>
      </c>
      <c r="N8" s="2">
        <v>4.54545454545454E-2</v>
      </c>
      <c r="O8" s="2">
        <v>1.21999212908303E-2</v>
      </c>
      <c r="P8" s="2">
        <v>2.8138528138528102E-2</v>
      </c>
      <c r="Q8" s="2">
        <v>0.167060212514757</v>
      </c>
      <c r="R8" s="2">
        <v>1.33805588351042E-2</v>
      </c>
      <c r="S8" s="2">
        <v>7.8709169618260502E-4</v>
      </c>
      <c r="T8" s="2">
        <v>5.2538370720188902E-2</v>
      </c>
      <c r="U8" s="2">
        <v>1.02321920503738E-2</v>
      </c>
      <c r="V8" s="2">
        <v>1.6922471467926001E-2</v>
      </c>
      <c r="W8" s="2">
        <v>9.9763872491145197E-2</v>
      </c>
      <c r="X8" s="2">
        <v>5.7064147973238796E-3</v>
      </c>
      <c r="Y8" s="2">
        <v>1.14128295946477E-2</v>
      </c>
      <c r="Z8" s="2">
        <v>6.2967335694608401E-3</v>
      </c>
      <c r="AA8" s="2">
        <v>2.8728846910665001E-2</v>
      </c>
      <c r="AB8" s="2">
        <v>2.3612750885478101E-3</v>
      </c>
      <c r="AC8" s="19">
        <f t="shared" si="0"/>
        <v>0.167060212514757</v>
      </c>
      <c r="AD8" s="20" t="str">
        <f t="shared" si="1"/>
        <v>o</v>
      </c>
      <c r="AE8" s="21" t="str">
        <f t="shared" si="6"/>
        <v>so</v>
      </c>
      <c r="AF8" s="22" t="str">
        <f t="shared" si="2"/>
        <v/>
      </c>
      <c r="AG8" s="19" cm="1">
        <f t="array" ref="AG8">MAX(IF($C8:$AB8&lt;AC8,$C8:$AB8))</f>
        <v>0.16666666666666599</v>
      </c>
      <c r="AH8" s="20" t="str">
        <f t="shared" si="3"/>
        <v>a</v>
      </c>
      <c r="AI8" s="21" t="str">
        <f t="shared" si="4"/>
        <v>pa</v>
      </c>
      <c r="AJ8" s="22" t="str">
        <f t="shared" si="5"/>
        <v/>
      </c>
    </row>
    <row r="9" spans="1:36" x14ac:dyDescent="0.25">
      <c r="A9" s="2">
        <v>4</v>
      </c>
      <c r="B9" s="2">
        <v>3</v>
      </c>
      <c r="C9" s="2">
        <v>8.6580086580086493E-2</v>
      </c>
      <c r="D9" s="2">
        <v>2.5777253049980301E-2</v>
      </c>
      <c r="E9" s="2">
        <v>3.4041715859897598E-2</v>
      </c>
      <c r="F9" s="2">
        <v>3.3844942935852003E-2</v>
      </c>
      <c r="G9" s="2">
        <v>9.4844549390003904E-2</v>
      </c>
      <c r="H9" s="2">
        <v>1.7906336088154201E-2</v>
      </c>
      <c r="I9" s="2">
        <v>3.12868949232585E-2</v>
      </c>
      <c r="J9" s="2">
        <v>1.08225108225108E-2</v>
      </c>
      <c r="K9" s="2">
        <v>6.9657615112160495E-2</v>
      </c>
      <c r="L9" s="2">
        <v>3.5419126328217199E-3</v>
      </c>
      <c r="M9" s="2">
        <v>2.4596615505706399E-2</v>
      </c>
      <c r="N9" s="2">
        <v>6.6312475403384405E-2</v>
      </c>
      <c r="O9" s="2">
        <v>3.3648170011806297E-2</v>
      </c>
      <c r="P9" s="2">
        <v>6.6902794175521405E-2</v>
      </c>
      <c r="Q9" s="2">
        <v>6.7099567099567103E-2</v>
      </c>
      <c r="R9" s="2">
        <v>3.3057851239669402E-2</v>
      </c>
      <c r="S9" s="2">
        <v>9.83864620228256E-4</v>
      </c>
      <c r="T9" s="2">
        <v>7.3789846517119201E-2</v>
      </c>
      <c r="U9" s="2">
        <v>4.54545454545454E-2</v>
      </c>
      <c r="V9" s="2">
        <v>5.0964187327823603E-2</v>
      </c>
      <c r="W9" s="2">
        <v>5.48996458087367E-2</v>
      </c>
      <c r="X9" s="2">
        <v>1.41676505312868E-2</v>
      </c>
      <c r="Y9" s="2">
        <v>2.5777253049980301E-2</v>
      </c>
      <c r="Z9" s="2">
        <v>7.2805981896890901E-3</v>
      </c>
      <c r="AA9" s="2">
        <v>1.45611963793781E-2</v>
      </c>
      <c r="AB9" s="2">
        <v>1.21999212908303E-2</v>
      </c>
      <c r="AC9" s="19">
        <f t="shared" si="0"/>
        <v>9.4844549390003904E-2</v>
      </c>
      <c r="AD9" s="20" t="str">
        <f t="shared" si="1"/>
        <v>e</v>
      </c>
      <c r="AE9" s="21" t="str">
        <f t="shared" si="6"/>
        <v>soe</v>
      </c>
      <c r="AF9" s="22" t="str">
        <f t="shared" si="2"/>
        <v/>
      </c>
      <c r="AG9" s="19" cm="1">
        <f t="array" ref="AG9">MAX(IF($C9:$AB9&lt;AC9,$C9:$AB9))</f>
        <v>8.6580086580086493E-2</v>
      </c>
      <c r="AH9" s="20" t="str">
        <f t="shared" si="3"/>
        <v>a</v>
      </c>
      <c r="AI9" s="21" t="str">
        <f t="shared" si="4"/>
        <v>paa</v>
      </c>
      <c r="AJ9" s="22" t="str">
        <f t="shared" si="5"/>
        <v/>
      </c>
    </row>
    <row r="10" spans="1:36" x14ac:dyDescent="0.25">
      <c r="A10" s="2">
        <v>4</v>
      </c>
      <c r="B10" s="2">
        <v>4</v>
      </c>
      <c r="C10" s="2">
        <v>5.2538370720188902E-2</v>
      </c>
      <c r="D10" s="2">
        <v>1.9677292404565099E-2</v>
      </c>
      <c r="E10" s="2">
        <v>1.14128295946477E-2</v>
      </c>
      <c r="F10" s="2">
        <v>5.7654466745375797E-2</v>
      </c>
      <c r="G10" s="2">
        <v>0.119834710743801</v>
      </c>
      <c r="H10" s="2">
        <v>2.0661157024793299E-2</v>
      </c>
      <c r="I10" s="2">
        <v>2.63675718221172E-2</v>
      </c>
      <c r="J10" s="2">
        <v>3.03030303030303E-2</v>
      </c>
      <c r="K10" s="2">
        <v>3.2664305391578101E-2</v>
      </c>
      <c r="L10" s="2">
        <v>1.3774104683195499E-3</v>
      </c>
      <c r="M10" s="2">
        <v>4.60448642266824E-2</v>
      </c>
      <c r="N10" s="2">
        <v>4.6831955922865001E-2</v>
      </c>
      <c r="O10" s="2">
        <v>3.03030303030303E-2</v>
      </c>
      <c r="P10" s="2">
        <v>4.8996458087367099E-2</v>
      </c>
      <c r="Q10" s="2">
        <v>4.2502951593860597E-2</v>
      </c>
      <c r="R10" s="2">
        <v>3.6402990948445402E-2</v>
      </c>
      <c r="S10" s="2">
        <v>5.9031877213695295E-4</v>
      </c>
      <c r="T10" s="2">
        <v>3.6993309720582401E-2</v>
      </c>
      <c r="U10" s="2">
        <v>0.14817001180637501</v>
      </c>
      <c r="V10" s="2">
        <v>8.4809130263675703E-2</v>
      </c>
      <c r="W10" s="2">
        <v>1.75127902400629E-2</v>
      </c>
      <c r="X10" s="2">
        <v>5.1160960251869303E-3</v>
      </c>
      <c r="Y10" s="2">
        <v>1.3577331759149901E-2</v>
      </c>
      <c r="Z10" s="2">
        <v>6.8870523415977903E-3</v>
      </c>
      <c r="AA10" s="2">
        <v>5.5686737504919301E-2</v>
      </c>
      <c r="AB10" s="2">
        <v>7.0838252656434397E-3</v>
      </c>
      <c r="AC10" s="19">
        <f t="shared" si="0"/>
        <v>0.14817001180637501</v>
      </c>
      <c r="AD10" s="20" t="str">
        <f t="shared" si="1"/>
        <v>s</v>
      </c>
      <c r="AE10" s="21" t="str">
        <f t="shared" si="6"/>
        <v>soes</v>
      </c>
      <c r="AF10" s="22" t="str">
        <f t="shared" si="2"/>
        <v>soes</v>
      </c>
      <c r="AG10" s="19" cm="1">
        <f t="array" ref="AG10">MAX(IF($C10:$AB10&lt;AC10,$C10:$AB10))</f>
        <v>0.119834710743801</v>
      </c>
      <c r="AH10" s="20" t="str">
        <f t="shared" si="3"/>
        <v>e</v>
      </c>
      <c r="AI10" s="21" t="str">
        <f t="shared" si="4"/>
        <v>paae</v>
      </c>
      <c r="AJ10" s="22" t="str">
        <f t="shared" si="5"/>
        <v>paae</v>
      </c>
    </row>
    <row r="11" spans="1:36" x14ac:dyDescent="0.25">
      <c r="A11" s="2">
        <v>5</v>
      </c>
      <c r="B11" s="2">
        <v>1</v>
      </c>
      <c r="C11" s="2">
        <v>7.1787731105438193E-2</v>
      </c>
      <c r="D11" s="2">
        <v>6.7146282973621102E-2</v>
      </c>
      <c r="E11" s="2">
        <v>7.31801655449833E-2</v>
      </c>
      <c r="F11" s="2">
        <v>5.1752146669760898E-2</v>
      </c>
      <c r="G11" s="2">
        <v>2.5914752069312201E-2</v>
      </c>
      <c r="H11" s="2">
        <v>4.6337123849307597E-2</v>
      </c>
      <c r="I11" s="2">
        <v>4.7652200819989103E-2</v>
      </c>
      <c r="J11" s="2">
        <v>3.3882571362265003E-2</v>
      </c>
      <c r="K11" s="2">
        <v>1.9339367215904599E-2</v>
      </c>
      <c r="L11" s="2">
        <v>1.4929991490678401E-2</v>
      </c>
      <c r="M11" s="2">
        <v>2.83128336040844E-2</v>
      </c>
      <c r="N11" s="2">
        <v>3.9916453933627201E-2</v>
      </c>
      <c r="O11" s="2">
        <v>4.7806915757716402E-2</v>
      </c>
      <c r="P11" s="2">
        <v>2.52185348495397E-2</v>
      </c>
      <c r="Q11" s="2">
        <v>2.2356308501585799E-2</v>
      </c>
      <c r="R11" s="2">
        <v>6.11124004022588E-2</v>
      </c>
      <c r="S11" s="2">
        <v>5.4923802893169296E-3</v>
      </c>
      <c r="T11" s="2">
        <v>4.5022046878626099E-2</v>
      </c>
      <c r="U11" s="2">
        <v>0.1167324205152</v>
      </c>
      <c r="V11" s="2">
        <v>6.4129341687939906E-2</v>
      </c>
      <c r="W11" s="2">
        <v>2.27430958459039E-2</v>
      </c>
      <c r="X11" s="2">
        <v>1.8875222402722901E-2</v>
      </c>
      <c r="Y11" s="2">
        <v>3.1484489827492801E-2</v>
      </c>
      <c r="Z11" s="2">
        <v>1.3150769706815101E-3</v>
      </c>
      <c r="AA11" s="2">
        <v>1.03659008277249E-2</v>
      </c>
      <c r="AB11" s="2">
        <v>7.1942446043165402E-3</v>
      </c>
      <c r="AC11" s="19">
        <f t="shared" si="0"/>
        <v>0.1167324205152</v>
      </c>
      <c r="AD11" s="20" t="str">
        <f t="shared" si="1"/>
        <v>s</v>
      </c>
      <c r="AE11" s="21" t="str">
        <f t="shared" si="6"/>
        <v>s</v>
      </c>
      <c r="AF11" s="22" t="str">
        <f t="shared" si="2"/>
        <v/>
      </c>
      <c r="AG11" s="19" cm="1">
        <f t="array" ref="AG11">MAX(IF($C11:$AB11&lt;AC11,$C11:$AB11))</f>
        <v>7.31801655449833E-2</v>
      </c>
      <c r="AH11" s="20" t="str">
        <f t="shared" si="3"/>
        <v>c</v>
      </c>
      <c r="AI11" s="21" t="str">
        <f t="shared" si="4"/>
        <v>c</v>
      </c>
      <c r="AJ11" s="22" t="str">
        <f t="shared" si="5"/>
        <v/>
      </c>
    </row>
    <row r="12" spans="1:36" x14ac:dyDescent="0.25">
      <c r="A12" s="2">
        <v>5</v>
      </c>
      <c r="B12" s="2">
        <v>2</v>
      </c>
      <c r="C12" s="2">
        <v>0.16887135452927901</v>
      </c>
      <c r="D12" s="2">
        <v>7.2716020731801601E-3</v>
      </c>
      <c r="E12" s="2">
        <v>1.7250715556586901E-2</v>
      </c>
      <c r="F12" s="2">
        <v>8.5093215749980598E-3</v>
      </c>
      <c r="G12" s="2">
        <v>0.12377195018179001</v>
      </c>
      <c r="H12" s="2">
        <v>2.9395838168175099E-3</v>
      </c>
      <c r="I12" s="2">
        <v>6.4980273845439704E-3</v>
      </c>
      <c r="J12" s="2">
        <v>4.68786261313529E-2</v>
      </c>
      <c r="K12" s="2">
        <v>0.103349578401794</v>
      </c>
      <c r="L12" s="2">
        <v>1.16036203295428E-3</v>
      </c>
      <c r="M12" s="2">
        <v>6.88481472886207E-3</v>
      </c>
      <c r="N12" s="2">
        <v>5.4923802893169303E-2</v>
      </c>
      <c r="O12" s="2">
        <v>1.5007348959542E-2</v>
      </c>
      <c r="P12" s="2">
        <v>3.8601376962945702E-2</v>
      </c>
      <c r="Q12" s="2">
        <v>0.14612825868337501</v>
      </c>
      <c r="R12" s="2">
        <v>1.9262009747040999E-2</v>
      </c>
      <c r="S12" s="2">
        <v>1.39243443954513E-3</v>
      </c>
      <c r="T12" s="2">
        <v>6.95443645083932E-2</v>
      </c>
      <c r="U12" s="2">
        <v>9.9017560145431994E-3</v>
      </c>
      <c r="V12" s="2">
        <v>2.0963874062040599E-2</v>
      </c>
      <c r="W12" s="2">
        <v>8.8496944379979806E-2</v>
      </c>
      <c r="X12" s="2">
        <v>5.4923802893169296E-3</v>
      </c>
      <c r="Y12" s="2">
        <v>1.1913050204997199E-2</v>
      </c>
      <c r="Z12" s="2">
        <v>5.4150228204533097E-3</v>
      </c>
      <c r="AA12" s="2">
        <v>1.7560145432041398E-2</v>
      </c>
      <c r="AB12" s="2">
        <v>2.0112941904540799E-3</v>
      </c>
      <c r="AC12" s="19">
        <f t="shared" si="0"/>
        <v>0.16887135452927901</v>
      </c>
      <c r="AD12" s="20" t="str">
        <f t="shared" si="1"/>
        <v>a</v>
      </c>
      <c r="AE12" s="21" t="str">
        <f t="shared" si="6"/>
        <v>sa</v>
      </c>
      <c r="AF12" s="22" t="str">
        <f t="shared" si="2"/>
        <v/>
      </c>
      <c r="AG12" s="19" cm="1">
        <f t="array" ref="AG12">MAX(IF($C12:$AB12&lt;AC12,$C12:$AB12))</f>
        <v>0.14612825868337501</v>
      </c>
      <c r="AH12" s="20" t="str">
        <f t="shared" si="3"/>
        <v>o</v>
      </c>
      <c r="AI12" s="21" t="str">
        <f t="shared" si="4"/>
        <v>co</v>
      </c>
      <c r="AJ12" s="22" t="str">
        <f t="shared" si="5"/>
        <v/>
      </c>
    </row>
    <row r="13" spans="1:36" x14ac:dyDescent="0.25">
      <c r="A13" s="2">
        <v>5</v>
      </c>
      <c r="B13" s="2">
        <v>3</v>
      </c>
      <c r="C13" s="2">
        <v>9.44534694824785E-2</v>
      </c>
      <c r="D13" s="2">
        <v>2.7307186508857401E-2</v>
      </c>
      <c r="E13" s="2">
        <v>3.4114643768855799E-2</v>
      </c>
      <c r="F13" s="2">
        <v>3.11750599520383E-2</v>
      </c>
      <c r="G13" s="2">
        <v>6.7610427786802804E-2</v>
      </c>
      <c r="H13" s="2">
        <v>1.3150769706815099E-2</v>
      </c>
      <c r="I13" s="2">
        <v>2.8390191072948E-2</v>
      </c>
      <c r="J13" s="2">
        <v>1.2299837549315301E-2</v>
      </c>
      <c r="K13" s="2">
        <v>7.9678192929527297E-2</v>
      </c>
      <c r="L13" s="2">
        <v>3.0942987545447501E-3</v>
      </c>
      <c r="M13" s="2">
        <v>1.988086949795E-2</v>
      </c>
      <c r="N13" s="2">
        <v>6.2118047497485798E-2</v>
      </c>
      <c r="O13" s="2">
        <v>3.9452309120445499E-2</v>
      </c>
      <c r="P13" s="2">
        <v>7.2329233387483496E-2</v>
      </c>
      <c r="Q13" s="2">
        <v>7.8595188365436594E-2</v>
      </c>
      <c r="R13" s="2">
        <v>2.9086408292720599E-2</v>
      </c>
      <c r="S13" s="2">
        <v>1.62450684613599E-3</v>
      </c>
      <c r="T13" s="2">
        <v>9.2519532760888007E-2</v>
      </c>
      <c r="U13" s="2">
        <v>4.2933395219308397E-2</v>
      </c>
      <c r="V13" s="2">
        <v>4.9818209948170399E-2</v>
      </c>
      <c r="W13" s="2">
        <v>5.1133286918852001E-2</v>
      </c>
      <c r="X13" s="2">
        <v>1.8024290245223101E-2</v>
      </c>
      <c r="Y13" s="2">
        <v>1.8643149996132102E-2</v>
      </c>
      <c r="Z13" s="2">
        <v>8.8187514504525395E-3</v>
      </c>
      <c r="AA13" s="2">
        <v>1.43111317397694E-2</v>
      </c>
      <c r="AB13" s="2">
        <v>9.4376112013614902E-3</v>
      </c>
      <c r="AC13" s="19">
        <f t="shared" si="0"/>
        <v>9.44534694824785E-2</v>
      </c>
      <c r="AD13" s="20" t="str">
        <f t="shared" si="1"/>
        <v>a</v>
      </c>
      <c r="AE13" s="21" t="str">
        <f t="shared" si="6"/>
        <v>saa</v>
      </c>
      <c r="AF13" s="22" t="str">
        <f t="shared" si="2"/>
        <v/>
      </c>
      <c r="AG13" s="19" cm="1">
        <f t="array" ref="AG13">MAX(IF($C13:$AB13&lt;AC13,$C13:$AB13))</f>
        <v>9.2519532760888007E-2</v>
      </c>
      <c r="AH13" s="20" t="str">
        <f t="shared" si="3"/>
        <v>r</v>
      </c>
      <c r="AI13" s="21" t="str">
        <f t="shared" si="4"/>
        <v>cor</v>
      </c>
      <c r="AJ13" s="22" t="str">
        <f t="shared" si="5"/>
        <v/>
      </c>
    </row>
    <row r="14" spans="1:36" x14ac:dyDescent="0.25">
      <c r="A14" s="2">
        <v>5</v>
      </c>
      <c r="B14" s="2">
        <v>4</v>
      </c>
      <c r="C14" s="2">
        <v>9.4144039607023999E-2</v>
      </c>
      <c r="D14" s="2">
        <v>1.8256362651814E-2</v>
      </c>
      <c r="E14" s="2">
        <v>3.14071323586292E-2</v>
      </c>
      <c r="F14" s="2">
        <v>3.1252417420901901E-2</v>
      </c>
      <c r="G14" s="2">
        <v>0.165622340837007</v>
      </c>
      <c r="H14" s="2">
        <v>1.5084706428405601E-2</v>
      </c>
      <c r="I14" s="2">
        <v>3.10977024831747E-2</v>
      </c>
      <c r="J14" s="2">
        <v>1.8720507464995699E-2</v>
      </c>
      <c r="K14" s="2">
        <v>8.0297052680436298E-2</v>
      </c>
      <c r="L14" s="2">
        <v>2.0112941904540799E-3</v>
      </c>
      <c r="M14" s="2">
        <v>3.2876924267037901E-2</v>
      </c>
      <c r="N14" s="2">
        <v>5.8869033805213897E-2</v>
      </c>
      <c r="O14" s="2">
        <v>3.0014697919084E-2</v>
      </c>
      <c r="P14" s="2">
        <v>5.5310590237487398E-2</v>
      </c>
      <c r="Q14" s="2">
        <v>5.7399241896805099E-2</v>
      </c>
      <c r="R14" s="2">
        <v>2.8931693354993401E-2</v>
      </c>
      <c r="S14" s="2">
        <v>1.54714937727237E-4</v>
      </c>
      <c r="T14" s="2">
        <v>5.4304943142260302E-2</v>
      </c>
      <c r="U14" s="2">
        <v>4.5331476754080599E-2</v>
      </c>
      <c r="V14" s="2">
        <v>6.4670843969985306E-2</v>
      </c>
      <c r="W14" s="2">
        <v>4.0303241277945302E-2</v>
      </c>
      <c r="X14" s="2">
        <v>1.26092674247698E-2</v>
      </c>
      <c r="Y14" s="2">
        <v>1.1294190454088301E-2</v>
      </c>
      <c r="Z14" s="2">
        <v>1.16036203295428E-3</v>
      </c>
      <c r="AA14" s="2">
        <v>9.8243985456795795E-3</v>
      </c>
      <c r="AB14" s="2">
        <v>9.0508238570433906E-3</v>
      </c>
      <c r="AC14" s="19">
        <f t="shared" si="0"/>
        <v>0.165622340837007</v>
      </c>
      <c r="AD14" s="20" t="str">
        <f t="shared" si="1"/>
        <v>e</v>
      </c>
      <c r="AE14" s="21" t="str">
        <f t="shared" si="6"/>
        <v>saae</v>
      </c>
      <c r="AF14" s="22" t="str">
        <f t="shared" si="2"/>
        <v/>
      </c>
      <c r="AG14" s="19" cm="1">
        <f t="array" ref="AG14">MAX(IF($C14:$AB14&lt;AC14,$C14:$AB14))</f>
        <v>9.4144039607023999E-2</v>
      </c>
      <c r="AH14" s="20" t="str">
        <f t="shared" si="3"/>
        <v>a</v>
      </c>
      <c r="AI14" s="21" t="str">
        <f t="shared" si="4"/>
        <v>cora</v>
      </c>
      <c r="AJ14" s="22" t="str">
        <f t="shared" si="5"/>
        <v/>
      </c>
    </row>
    <row r="15" spans="1:36" x14ac:dyDescent="0.25">
      <c r="A15" s="2">
        <v>5</v>
      </c>
      <c r="B15" s="2">
        <v>5</v>
      </c>
      <c r="C15" s="2">
        <v>6.25048348418039E-2</v>
      </c>
      <c r="D15" s="2">
        <v>6.5753848534075903E-3</v>
      </c>
      <c r="E15" s="2">
        <v>1.33054846445424E-2</v>
      </c>
      <c r="F15" s="2">
        <v>5.8869033805213897E-2</v>
      </c>
      <c r="G15" s="2">
        <v>0.117970140017018</v>
      </c>
      <c r="H15" s="2">
        <v>6.96217219772569E-3</v>
      </c>
      <c r="I15" s="2">
        <v>1.2996054769087899E-2</v>
      </c>
      <c r="J15" s="2">
        <v>3.0169412856811299E-2</v>
      </c>
      <c r="K15" s="2">
        <v>2.6146824475903101E-2</v>
      </c>
      <c r="L15" s="2">
        <v>1.54714937727237E-4</v>
      </c>
      <c r="M15" s="2">
        <v>2.26657383770403E-2</v>
      </c>
      <c r="N15" s="2">
        <v>4.5563549160671402E-2</v>
      </c>
      <c r="O15" s="2">
        <v>1.8952579871586599E-2</v>
      </c>
      <c r="P15" s="2">
        <v>4.7884273226580003E-2</v>
      </c>
      <c r="Q15" s="2">
        <v>3.08656300765838E-2</v>
      </c>
      <c r="R15" s="2">
        <v>1.53941363038601E-2</v>
      </c>
      <c r="S15" s="2">
        <v>3.0942987545447498E-4</v>
      </c>
      <c r="T15" s="2">
        <v>5.5001160362032897E-2</v>
      </c>
      <c r="U15" s="2">
        <v>0.217606559913359</v>
      </c>
      <c r="V15" s="2">
        <v>7.37216678270287E-2</v>
      </c>
      <c r="W15" s="2">
        <v>9.4376112013614902E-3</v>
      </c>
      <c r="X15" s="2">
        <v>1.4697919084087499E-3</v>
      </c>
      <c r="Y15" s="2">
        <v>7.1942446043165402E-3</v>
      </c>
      <c r="Z15" s="2">
        <v>6.5753848534075903E-3</v>
      </c>
      <c r="AA15" s="2">
        <v>0.108764601222248</v>
      </c>
      <c r="AB15" s="2">
        <v>2.9395838168175099E-3</v>
      </c>
      <c r="AC15" s="19">
        <f t="shared" si="0"/>
        <v>0.217606559913359</v>
      </c>
      <c r="AD15" s="20" t="str">
        <f t="shared" si="1"/>
        <v>s</v>
      </c>
      <c r="AE15" s="21" t="str">
        <f t="shared" si="6"/>
        <v>saaes</v>
      </c>
      <c r="AF15" s="22" t="str">
        <f t="shared" si="2"/>
        <v>saaes</v>
      </c>
      <c r="AG15" s="19" cm="1">
        <f t="array" ref="AG15">MAX(IF($C15:$AB15&lt;AC15,$C15:$AB15))</f>
        <v>0.117970140017018</v>
      </c>
      <c r="AH15" s="20" t="str">
        <f t="shared" si="3"/>
        <v>e</v>
      </c>
      <c r="AI15" s="21" t="str">
        <f t="shared" si="4"/>
        <v>corae</v>
      </c>
      <c r="AJ15" s="22" t="str">
        <f t="shared" si="5"/>
        <v>corae</v>
      </c>
    </row>
    <row r="16" spans="1:36" x14ac:dyDescent="0.25">
      <c r="A16" s="2">
        <v>6</v>
      </c>
      <c r="B16" s="2">
        <v>1</v>
      </c>
      <c r="C16" s="2">
        <v>6.5819684677789606E-2</v>
      </c>
      <c r="D16" s="2">
        <v>7.0603091994489497E-2</v>
      </c>
      <c r="E16" s="2">
        <v>8.35374253788458E-2</v>
      </c>
      <c r="F16" s="2">
        <v>5.2120006122761298E-2</v>
      </c>
      <c r="G16" s="2">
        <v>3.3828256543701203E-2</v>
      </c>
      <c r="H16" s="2">
        <v>4.2438389713760898E-2</v>
      </c>
      <c r="I16" s="2">
        <v>4.1864380835756901E-2</v>
      </c>
      <c r="J16" s="2">
        <v>3.3598652992499603E-2</v>
      </c>
      <c r="K16" s="2">
        <v>2.1429664778815201E-2</v>
      </c>
      <c r="L16" s="2">
        <v>1.4120618398897901E-2</v>
      </c>
      <c r="M16" s="2">
        <v>2.2348078983621601E-2</v>
      </c>
      <c r="N16" s="2">
        <v>3.7119240777590601E-2</v>
      </c>
      <c r="O16" s="2">
        <v>4.9211694474207798E-2</v>
      </c>
      <c r="P16" s="2">
        <v>2.02816470228072E-2</v>
      </c>
      <c r="Q16" s="2">
        <v>2.3840502066431901E-2</v>
      </c>
      <c r="R16" s="2">
        <v>6.5972753711924001E-2</v>
      </c>
      <c r="S16" s="2">
        <v>5.01301086790142E-3</v>
      </c>
      <c r="T16" s="2">
        <v>5.5487524873717997E-2</v>
      </c>
      <c r="U16" s="2">
        <v>0.10848767794275201</v>
      </c>
      <c r="V16" s="2">
        <v>6.1916424307362598E-2</v>
      </c>
      <c r="W16" s="2">
        <v>3.3560385733965997E-2</v>
      </c>
      <c r="X16" s="2">
        <v>1.7258533598652901E-2</v>
      </c>
      <c r="Y16" s="2">
        <v>2.7054951783254198E-2</v>
      </c>
      <c r="Z16" s="2">
        <v>1.0332159804071601E-3</v>
      </c>
      <c r="AA16" s="2">
        <v>6.8115720189805603E-3</v>
      </c>
      <c r="AB16" s="2">
        <v>5.2426144191030097E-3</v>
      </c>
      <c r="AC16" s="19">
        <f t="shared" si="0"/>
        <v>0.10848767794275201</v>
      </c>
      <c r="AD16" s="20" t="str">
        <f t="shared" si="1"/>
        <v>s</v>
      </c>
      <c r="AE16" s="21" t="str">
        <f t="shared" si="6"/>
        <v>s</v>
      </c>
      <c r="AF16" s="22" t="str">
        <f t="shared" si="2"/>
        <v/>
      </c>
      <c r="AG16" s="19" cm="1">
        <f t="array" ref="AG16">MAX(IF($C16:$AB16&lt;AC16,$C16:$AB16))</f>
        <v>8.35374253788458E-2</v>
      </c>
      <c r="AH16" s="20" t="str">
        <f t="shared" si="3"/>
        <v>c</v>
      </c>
      <c r="AI16" s="21" t="str">
        <f t="shared" si="4"/>
        <v>c</v>
      </c>
      <c r="AJ16" s="22" t="str">
        <f t="shared" si="5"/>
        <v/>
      </c>
    </row>
    <row r="17" spans="1:36" x14ac:dyDescent="0.25">
      <c r="A17" s="2">
        <v>6</v>
      </c>
      <c r="B17" s="2">
        <v>2</v>
      </c>
      <c r="C17" s="2">
        <v>0.173312413898668</v>
      </c>
      <c r="D17" s="2">
        <v>7.34731363845094E-3</v>
      </c>
      <c r="E17" s="2">
        <v>1.6914128271850602E-2</v>
      </c>
      <c r="F17" s="2">
        <v>6.5819684677789602E-3</v>
      </c>
      <c r="G17" s="2">
        <v>0.14112964947191101</v>
      </c>
      <c r="H17" s="2">
        <v>3.2144497168222798E-3</v>
      </c>
      <c r="I17" s="2">
        <v>5.0895453849686204E-3</v>
      </c>
      <c r="J17" s="2">
        <v>4.2247053421092903E-2</v>
      </c>
      <c r="K17" s="2">
        <v>0.102250114801775</v>
      </c>
      <c r="L17" s="2">
        <v>1.0332159804071601E-3</v>
      </c>
      <c r="M17" s="2">
        <v>4.5155365069646401E-3</v>
      </c>
      <c r="N17" s="2">
        <v>4.3662941986835999E-2</v>
      </c>
      <c r="O17" s="2">
        <v>1.50390326037042E-2</v>
      </c>
      <c r="P17" s="2">
        <v>5.4033369049441199E-2</v>
      </c>
      <c r="Q17" s="2">
        <v>0.135542629726006</v>
      </c>
      <c r="R17" s="2">
        <v>2.1429664778815201E-2</v>
      </c>
      <c r="S17" s="2">
        <v>1.7985611510791301E-3</v>
      </c>
      <c r="T17" s="2">
        <v>6.5743150160722394E-2</v>
      </c>
      <c r="U17" s="2">
        <v>1.24368590234195E-2</v>
      </c>
      <c r="V17" s="2">
        <v>1.9975508954538399E-2</v>
      </c>
      <c r="W17" s="2">
        <v>9.0884739017296795E-2</v>
      </c>
      <c r="X17" s="2">
        <v>4.2093984386958501E-3</v>
      </c>
      <c r="Y17" s="2">
        <v>7.65345170671973E-3</v>
      </c>
      <c r="Z17" s="2">
        <v>6.0079595897749799E-3</v>
      </c>
      <c r="AA17" s="2">
        <v>1.6416653910913799E-2</v>
      </c>
      <c r="AB17" s="2">
        <v>1.53069034134394E-3</v>
      </c>
      <c r="AC17" s="19">
        <f t="shared" si="0"/>
        <v>0.173312413898668</v>
      </c>
      <c r="AD17" s="20" t="str">
        <f t="shared" si="1"/>
        <v>a</v>
      </c>
      <c r="AE17" s="21" t="str">
        <f t="shared" si="6"/>
        <v>sa</v>
      </c>
      <c r="AF17" s="22" t="str">
        <f t="shared" si="2"/>
        <v/>
      </c>
      <c r="AG17" s="19" cm="1">
        <f t="array" ref="AG17">MAX(IF($C17:$AB17&lt;AC17,$C17:$AB17))</f>
        <v>0.14112964947191101</v>
      </c>
      <c r="AH17" s="20" t="str">
        <f t="shared" si="3"/>
        <v>e</v>
      </c>
      <c r="AI17" s="21" t="str">
        <f t="shared" si="4"/>
        <v>ce</v>
      </c>
      <c r="AJ17" s="22" t="str">
        <f t="shared" si="5"/>
        <v/>
      </c>
    </row>
    <row r="18" spans="1:36" x14ac:dyDescent="0.25">
      <c r="A18" s="2">
        <v>6</v>
      </c>
      <c r="B18" s="2">
        <v>3</v>
      </c>
      <c r="C18" s="2">
        <v>7.9289759681616404E-2</v>
      </c>
      <c r="D18" s="2">
        <v>3.3330782182764397E-2</v>
      </c>
      <c r="E18" s="2">
        <v>4.2782795040563197E-2</v>
      </c>
      <c r="F18" s="2">
        <v>3.5512015919179497E-2</v>
      </c>
      <c r="G18" s="2">
        <v>5.9314250727077897E-2</v>
      </c>
      <c r="H18" s="2">
        <v>1.71819990815857E-2</v>
      </c>
      <c r="I18" s="2">
        <v>3.6315628348385101E-2</v>
      </c>
      <c r="J18" s="2">
        <v>1.4311954691565799E-2</v>
      </c>
      <c r="K18" s="2">
        <v>6.2681769478034596E-2</v>
      </c>
      <c r="L18" s="2">
        <v>3.2527169753558799E-3</v>
      </c>
      <c r="M18" s="2">
        <v>1.1901117403949101E-2</v>
      </c>
      <c r="N18" s="2">
        <v>6.6011020970457607E-2</v>
      </c>
      <c r="O18" s="2">
        <v>4.5193632328180001E-2</v>
      </c>
      <c r="P18" s="2">
        <v>7.5195163018521305E-2</v>
      </c>
      <c r="Q18" s="2">
        <v>6.2222562375631403E-2</v>
      </c>
      <c r="R18" s="2">
        <v>3.2259298943823601E-2</v>
      </c>
      <c r="S18" s="2">
        <v>1.6454921169447401E-3</v>
      </c>
      <c r="T18" s="2">
        <v>9.8270319914281298E-2</v>
      </c>
      <c r="U18" s="2">
        <v>5.6903413439461099E-2</v>
      </c>
      <c r="V18" s="2">
        <v>5.8855043624674697E-2</v>
      </c>
      <c r="W18" s="2">
        <v>4.60355120159191E-2</v>
      </c>
      <c r="X18" s="2">
        <v>1.38527475891627E-2</v>
      </c>
      <c r="Y18" s="2">
        <v>1.8980560232664902E-2</v>
      </c>
      <c r="Z18" s="2">
        <v>5.5487524873717997E-3</v>
      </c>
      <c r="AA18" s="2">
        <v>1.5421705189040199E-2</v>
      </c>
      <c r="AB18" s="2">
        <v>7.7299862237869199E-3</v>
      </c>
      <c r="AC18" s="19">
        <f t="shared" si="0"/>
        <v>9.8270319914281298E-2</v>
      </c>
      <c r="AD18" s="20" t="str">
        <f t="shared" si="1"/>
        <v>r</v>
      </c>
      <c r="AE18" s="21" t="str">
        <f t="shared" si="6"/>
        <v>sar</v>
      </c>
      <c r="AF18" s="22" t="str">
        <f t="shared" si="2"/>
        <v/>
      </c>
      <c r="AG18" s="19" cm="1">
        <f t="array" ref="AG18">MAX(IF($C18:$AB18&lt;AC18,$C18:$AB18))</f>
        <v>7.9289759681616404E-2</v>
      </c>
      <c r="AH18" s="20" t="str">
        <f t="shared" si="3"/>
        <v>a</v>
      </c>
      <c r="AI18" s="21" t="str">
        <f t="shared" si="4"/>
        <v>cea</v>
      </c>
      <c r="AJ18" s="22" t="str">
        <f t="shared" si="5"/>
        <v/>
      </c>
    </row>
    <row r="19" spans="1:36" x14ac:dyDescent="0.25">
      <c r="A19" s="2">
        <v>6</v>
      </c>
      <c r="B19" s="2">
        <v>4</v>
      </c>
      <c r="C19" s="2">
        <v>8.90861778662176E-2</v>
      </c>
      <c r="D19" s="2">
        <v>2.7514158885657398E-2</v>
      </c>
      <c r="E19" s="2">
        <v>3.0039797948874899E-2</v>
      </c>
      <c r="F19" s="2">
        <v>3.9606612582274603E-2</v>
      </c>
      <c r="G19" s="2">
        <v>8.6484004285932906E-2</v>
      </c>
      <c r="H19" s="2">
        <v>1.5919179549977E-2</v>
      </c>
      <c r="I19" s="2">
        <v>3.7042706260523403E-2</v>
      </c>
      <c r="J19" s="2">
        <v>2.44527782029695E-2</v>
      </c>
      <c r="K19" s="2">
        <v>0.109903566508495</v>
      </c>
      <c r="L19" s="2">
        <v>3.1379151997550799E-3</v>
      </c>
      <c r="M19" s="2">
        <v>2.9274452778202901E-2</v>
      </c>
      <c r="N19" s="2">
        <v>5.8548905556405899E-2</v>
      </c>
      <c r="O19" s="2">
        <v>3.5932955763049099E-2</v>
      </c>
      <c r="P19" s="2">
        <v>5.2808816776366098E-2</v>
      </c>
      <c r="Q19" s="2">
        <v>7.0717893770090301E-2</v>
      </c>
      <c r="R19" s="2">
        <v>3.2488902495025201E-2</v>
      </c>
      <c r="S19" s="2">
        <v>1.6072248584111399E-3</v>
      </c>
      <c r="T19" s="2">
        <v>5.2617480483698097E-2</v>
      </c>
      <c r="U19" s="2">
        <v>4.3471605694167997E-2</v>
      </c>
      <c r="V19" s="2">
        <v>7.0258686667687101E-2</v>
      </c>
      <c r="W19" s="2">
        <v>4.3280269401500003E-2</v>
      </c>
      <c r="X19" s="2">
        <v>1.5421705189040199E-2</v>
      </c>
      <c r="Y19" s="2">
        <v>1.02556252870044E-2</v>
      </c>
      <c r="Z19" s="2">
        <v>2.7552426144191E-3</v>
      </c>
      <c r="AA19" s="2">
        <v>7.8065207408541202E-3</v>
      </c>
      <c r="AB19" s="2">
        <v>9.5668146333996607E-3</v>
      </c>
      <c r="AC19" s="19">
        <f t="shared" si="0"/>
        <v>0.109903566508495</v>
      </c>
      <c r="AD19" s="20" t="str">
        <f t="shared" si="1"/>
        <v>i</v>
      </c>
      <c r="AE19" s="21" t="str">
        <f t="shared" si="6"/>
        <v>sari</v>
      </c>
      <c r="AF19" s="22" t="str">
        <f t="shared" si="2"/>
        <v/>
      </c>
      <c r="AG19" s="19" cm="1">
        <f t="array" ref="AG19">MAX(IF($C19:$AB19&lt;AC19,$C19:$AB19))</f>
        <v>8.90861778662176E-2</v>
      </c>
      <c r="AH19" s="20" t="str">
        <f t="shared" si="3"/>
        <v>a</v>
      </c>
      <c r="AI19" s="21" t="str">
        <f t="shared" si="4"/>
        <v>ceaa</v>
      </c>
      <c r="AJ19" s="22" t="str">
        <f t="shared" si="5"/>
        <v/>
      </c>
    </row>
    <row r="20" spans="1:36" x14ac:dyDescent="0.25">
      <c r="A20" s="2">
        <v>6</v>
      </c>
      <c r="B20" s="2">
        <v>5</v>
      </c>
      <c r="C20" s="2">
        <v>8.9889790295423197E-2</v>
      </c>
      <c r="D20" s="2">
        <v>7.1942446043165402E-3</v>
      </c>
      <c r="E20" s="2">
        <v>2.7131486300321399E-2</v>
      </c>
      <c r="F20" s="2">
        <v>1.84448186131945E-2</v>
      </c>
      <c r="G20" s="2">
        <v>0.24154293586407399</v>
      </c>
      <c r="H20" s="2">
        <v>9.5285473748660601E-3</v>
      </c>
      <c r="I20" s="2">
        <v>1.7488137149854501E-2</v>
      </c>
      <c r="J20" s="2">
        <v>1.9133629266799301E-2</v>
      </c>
      <c r="K20" s="2">
        <v>9.2798101943976696E-2</v>
      </c>
      <c r="L20" s="2">
        <v>8.8014694627276896E-4</v>
      </c>
      <c r="M20" s="2">
        <v>1.6340119393846601E-2</v>
      </c>
      <c r="N20" s="2">
        <v>7.6955456911066894E-2</v>
      </c>
      <c r="O20" s="2">
        <v>1.85596203887953E-2</v>
      </c>
      <c r="P20" s="2">
        <v>7.1368437165161405E-2</v>
      </c>
      <c r="Q20" s="2">
        <v>5.8855043624674697E-2</v>
      </c>
      <c r="R20" s="2">
        <v>1.28577988672891E-2</v>
      </c>
      <c r="S20" s="2">
        <v>1.53069034134394E-4</v>
      </c>
      <c r="T20" s="2">
        <v>5.9926526863615402E-2</v>
      </c>
      <c r="U20" s="2">
        <v>4.0180621460278503E-2</v>
      </c>
      <c r="V20" s="2">
        <v>5.3382825654370102E-2</v>
      </c>
      <c r="W20" s="2">
        <v>4.1060768406551297E-2</v>
      </c>
      <c r="X20" s="2">
        <v>6.6202357263125599E-3</v>
      </c>
      <c r="Y20" s="2">
        <v>4.6303382825654297E-3</v>
      </c>
      <c r="Z20" s="2">
        <v>1.0332159804071601E-3</v>
      </c>
      <c r="AA20" s="2">
        <v>9.5285473748660601E-3</v>
      </c>
      <c r="AB20" s="2">
        <v>4.5155365069646401E-3</v>
      </c>
      <c r="AC20" s="19">
        <f t="shared" si="0"/>
        <v>0.24154293586407399</v>
      </c>
      <c r="AD20" s="20" t="str">
        <f t="shared" si="1"/>
        <v>e</v>
      </c>
      <c r="AE20" s="21" t="str">
        <f t="shared" si="6"/>
        <v>sarie</v>
      </c>
      <c r="AF20" s="22" t="str">
        <f t="shared" si="2"/>
        <v/>
      </c>
      <c r="AG20" s="19" cm="1">
        <f t="array" ref="AG20">MAX(IF($C20:$AB20&lt;AC20,$C20:$AB20))</f>
        <v>9.2798101943976696E-2</v>
      </c>
      <c r="AH20" s="20" t="str">
        <f t="shared" si="3"/>
        <v>i</v>
      </c>
      <c r="AI20" s="21" t="str">
        <f t="shared" si="4"/>
        <v>ceaai</v>
      </c>
      <c r="AJ20" s="22" t="str">
        <f t="shared" si="5"/>
        <v/>
      </c>
    </row>
    <row r="21" spans="1:36" x14ac:dyDescent="0.25">
      <c r="A21" s="2">
        <v>6</v>
      </c>
      <c r="B21" s="2">
        <v>6</v>
      </c>
      <c r="C21" s="2">
        <v>4.67243226695239E-2</v>
      </c>
      <c r="D21" s="2">
        <v>4.6303382825654297E-3</v>
      </c>
      <c r="E21" s="2">
        <v>1.5880912291443401E-2</v>
      </c>
      <c r="F21" s="2">
        <v>9.3104240012245501E-2</v>
      </c>
      <c r="G21" s="2">
        <v>0.14797948874942499</v>
      </c>
      <c r="H21" s="2">
        <v>3.4823205265574701E-3</v>
      </c>
      <c r="I21" s="2">
        <v>2.6136537578447801E-2</v>
      </c>
      <c r="J21" s="2">
        <v>2.7973365988060599E-2</v>
      </c>
      <c r="K21" s="2">
        <v>1.74116026327873E-2</v>
      </c>
      <c r="L21" s="2">
        <v>1.9133629266799299E-4</v>
      </c>
      <c r="M21" s="2">
        <v>1.33935404867595E-2</v>
      </c>
      <c r="N21" s="2">
        <v>5.1545997244757301E-2</v>
      </c>
      <c r="O21" s="2">
        <v>1.98607071789377E-2</v>
      </c>
      <c r="P21" s="2">
        <v>6.7886116638603999E-2</v>
      </c>
      <c r="Q21" s="2">
        <v>1.9478034593601701E-2</v>
      </c>
      <c r="R21" s="2">
        <v>1.04469615796724E-2</v>
      </c>
      <c r="S21" s="2">
        <v>3.82672585335986E-5</v>
      </c>
      <c r="T21" s="2">
        <v>8.4149701515383396E-2</v>
      </c>
      <c r="U21" s="2">
        <v>0.18115720189805601</v>
      </c>
      <c r="V21" s="2">
        <v>6.8230521965406396E-2</v>
      </c>
      <c r="W21" s="2">
        <v>4.7834073166998304E-3</v>
      </c>
      <c r="X21" s="2">
        <v>3.4440532680238701E-4</v>
      </c>
      <c r="Y21" s="2">
        <v>6.1992958824429803E-3</v>
      </c>
      <c r="Z21" s="2">
        <v>4.4390019898974398E-3</v>
      </c>
      <c r="AA21" s="2">
        <v>8.3231287310576996E-2</v>
      </c>
      <c r="AB21" s="2">
        <v>1.3010867901423499E-3</v>
      </c>
      <c r="AC21" s="19">
        <f t="shared" si="0"/>
        <v>0.18115720189805601</v>
      </c>
      <c r="AD21" s="20" t="str">
        <f t="shared" si="1"/>
        <v>s</v>
      </c>
      <c r="AE21" s="21" t="str">
        <f t="shared" si="6"/>
        <v>saries</v>
      </c>
      <c r="AF21" s="22" t="str">
        <f t="shared" si="2"/>
        <v>saries</v>
      </c>
      <c r="AG21" s="19" cm="1">
        <f t="array" ref="AG21">MAX(IF($C21:$AB21&lt;AC21,$C21:$AB21))</f>
        <v>0.14797948874942499</v>
      </c>
      <c r="AH21" s="20" t="str">
        <f t="shared" si="3"/>
        <v>e</v>
      </c>
      <c r="AI21" s="21" t="str">
        <f t="shared" si="4"/>
        <v>ceaaie</v>
      </c>
      <c r="AJ21" s="22" t="str">
        <f t="shared" si="5"/>
        <v>ceaaie</v>
      </c>
    </row>
    <row r="22" spans="1:36" x14ac:dyDescent="0.25">
      <c r="A22" s="2">
        <v>7</v>
      </c>
      <c r="B22" s="2">
        <v>1</v>
      </c>
      <c r="C22" s="2">
        <v>6.4400293562591707E-2</v>
      </c>
      <c r="D22" s="2">
        <v>6.9590060809394005E-2</v>
      </c>
      <c r="E22" s="2">
        <v>8.7177605368001607E-2</v>
      </c>
      <c r="F22" s="2">
        <v>5.2684000838750203E-2</v>
      </c>
      <c r="G22" s="2">
        <v>3.7848605577689202E-2</v>
      </c>
      <c r="H22" s="2">
        <v>4.3117005661564199E-2</v>
      </c>
      <c r="I22" s="2">
        <v>3.9106730970853397E-2</v>
      </c>
      <c r="J22" s="2">
        <v>3.3969385615433001E-2</v>
      </c>
      <c r="K22" s="2">
        <v>2.1912350597609501E-2</v>
      </c>
      <c r="L22" s="2">
        <v>1.20308240721325E-2</v>
      </c>
      <c r="M22" s="2">
        <v>1.4887817152442801E-2</v>
      </c>
      <c r="N22" s="2">
        <v>3.3916963724051098E-2</v>
      </c>
      <c r="O22" s="2">
        <v>5.08492346403858E-2</v>
      </c>
      <c r="P22" s="2">
        <v>1.9107779408681001E-2</v>
      </c>
      <c r="Q22" s="2">
        <v>2.9094149716921699E-2</v>
      </c>
      <c r="R22" s="2">
        <v>7.5356468861396506E-2</v>
      </c>
      <c r="S22" s="2">
        <v>5.2684000838750201E-3</v>
      </c>
      <c r="T22" s="2">
        <v>5.3548962046550602E-2</v>
      </c>
      <c r="U22" s="2">
        <v>0.10911616691130201</v>
      </c>
      <c r="V22" s="2">
        <v>5.8188299433843502E-2</v>
      </c>
      <c r="W22" s="2">
        <v>3.51750891172153E-2</v>
      </c>
      <c r="X22" s="2">
        <v>1.6224575382679799E-2</v>
      </c>
      <c r="Y22" s="2">
        <v>2.7311805409939102E-2</v>
      </c>
      <c r="Z22" s="2">
        <v>9.4359404487313902E-4</v>
      </c>
      <c r="AA22" s="2">
        <v>3.9054309079471499E-3</v>
      </c>
      <c r="AB22" s="2">
        <v>5.2684000838750201E-3</v>
      </c>
      <c r="AC22" s="19">
        <f t="shared" si="0"/>
        <v>0.10911616691130201</v>
      </c>
      <c r="AD22" s="20" t="str">
        <f t="shared" si="1"/>
        <v>s</v>
      </c>
      <c r="AE22" s="21" t="str">
        <f t="shared" si="6"/>
        <v>s</v>
      </c>
      <c r="AF22" s="22" t="str">
        <f t="shared" si="2"/>
        <v/>
      </c>
      <c r="AG22" s="19" cm="1">
        <f t="array" ref="AG22">MAX(IF($C22:$AB22&lt;AC22,$C22:$AB22))</f>
        <v>8.7177605368001607E-2</v>
      </c>
      <c r="AH22" s="20" t="str">
        <f t="shared" si="3"/>
        <v>c</v>
      </c>
      <c r="AI22" s="21" t="str">
        <f t="shared" si="4"/>
        <v>c</v>
      </c>
      <c r="AJ22" s="22" t="str">
        <f t="shared" si="5"/>
        <v/>
      </c>
    </row>
    <row r="23" spans="1:36" x14ac:dyDescent="0.25">
      <c r="A23" s="2">
        <v>7</v>
      </c>
      <c r="B23" s="2">
        <v>2</v>
      </c>
      <c r="C23" s="2">
        <v>0.160673097085342</v>
      </c>
      <c r="D23" s="2">
        <v>5.6353533235479099E-3</v>
      </c>
      <c r="E23" s="2">
        <v>1.8190396309498799E-2</v>
      </c>
      <c r="F23" s="2">
        <v>6.1333612916754003E-3</v>
      </c>
      <c r="G23" s="2">
        <v>0.14308555252673499</v>
      </c>
      <c r="H23" s="2">
        <v>2.4900398406374502E-3</v>
      </c>
      <c r="I23" s="2">
        <v>3.77437617949255E-3</v>
      </c>
      <c r="J23" s="2">
        <v>4.07580205493814E-2</v>
      </c>
      <c r="K23" s="2">
        <v>0.101305305095407</v>
      </c>
      <c r="L23" s="2">
        <v>6.02851750891172E-4</v>
      </c>
      <c r="M23" s="2">
        <v>3.9840637450199202E-3</v>
      </c>
      <c r="N23" s="2">
        <v>4.5187670371146897E-2</v>
      </c>
      <c r="O23" s="2">
        <v>1.52023485007339E-2</v>
      </c>
      <c r="P23" s="2">
        <v>5.9839589012371498E-2</v>
      </c>
      <c r="Q23" s="2">
        <v>0.12998007968127401</v>
      </c>
      <c r="R23" s="2">
        <v>2.42713357097924E-2</v>
      </c>
      <c r="S23" s="2">
        <v>2.1755084923463998E-3</v>
      </c>
      <c r="T23" s="2">
        <v>7.4543929544977905E-2</v>
      </c>
      <c r="U23" s="2">
        <v>1.2004613126441599E-2</v>
      </c>
      <c r="V23" s="2">
        <v>1.9422310756972101E-2</v>
      </c>
      <c r="W23" s="2">
        <v>9.3677919899349898E-2</v>
      </c>
      <c r="X23" s="2">
        <v>6.7100020968756504E-3</v>
      </c>
      <c r="Y23" s="2">
        <v>6.7624239882574898E-3</v>
      </c>
      <c r="Z23" s="2">
        <v>5.9498846718389602E-3</v>
      </c>
      <c r="AA23" s="2">
        <v>1.5910044034388698E-2</v>
      </c>
      <c r="AB23" s="2">
        <v>1.7299224156007501E-3</v>
      </c>
      <c r="AC23" s="19">
        <f t="shared" si="0"/>
        <v>0.160673097085342</v>
      </c>
      <c r="AD23" s="20" t="str">
        <f t="shared" si="1"/>
        <v>a</v>
      </c>
      <c r="AE23" s="21" t="str">
        <f t="shared" si="6"/>
        <v>sa</v>
      </c>
      <c r="AF23" s="22" t="str">
        <f t="shared" si="2"/>
        <v/>
      </c>
      <c r="AG23" s="19" cm="1">
        <f t="array" ref="AG23">MAX(IF($C23:$AB23&lt;AC23,$C23:$AB23))</f>
        <v>0.14308555252673499</v>
      </c>
      <c r="AH23" s="20" t="str">
        <f t="shared" si="3"/>
        <v>e</v>
      </c>
      <c r="AI23" s="21" t="str">
        <f t="shared" si="4"/>
        <v>ce</v>
      </c>
      <c r="AJ23" s="22" t="str">
        <f t="shared" si="5"/>
        <v/>
      </c>
    </row>
    <row r="24" spans="1:36" x14ac:dyDescent="0.25">
      <c r="A24" s="2">
        <v>7</v>
      </c>
      <c r="B24" s="2">
        <v>3</v>
      </c>
      <c r="C24" s="2">
        <v>8.7570769553365402E-2</v>
      </c>
      <c r="D24" s="2">
        <v>3.16890333403229E-2</v>
      </c>
      <c r="E24" s="2">
        <v>4.50828265883833E-2</v>
      </c>
      <c r="F24" s="2">
        <v>3.2658838330886897E-2</v>
      </c>
      <c r="G24" s="2">
        <v>6.36925980289368E-2</v>
      </c>
      <c r="H24" s="2">
        <v>1.6381841056825299E-2</v>
      </c>
      <c r="I24" s="2">
        <v>3.4048018452505699E-2</v>
      </c>
      <c r="J24" s="2">
        <v>1.16376598867687E-2</v>
      </c>
      <c r="K24" s="2">
        <v>6.4872090585028297E-2</v>
      </c>
      <c r="L24" s="2">
        <v>2.69972740616481E-3</v>
      </c>
      <c r="M24" s="2">
        <v>6.2906269658209203E-3</v>
      </c>
      <c r="N24" s="2">
        <v>6.3902285594464203E-2</v>
      </c>
      <c r="O24" s="2">
        <v>4.1072551897672401E-2</v>
      </c>
      <c r="P24" s="2">
        <v>7.6902914657160801E-2</v>
      </c>
      <c r="Q24" s="2">
        <v>6.5343887607464804E-2</v>
      </c>
      <c r="R24" s="2">
        <v>3.49916124973789E-2</v>
      </c>
      <c r="S24" s="2">
        <v>2.12308660096456E-3</v>
      </c>
      <c r="T24" s="2">
        <v>9.5669951771859899E-2</v>
      </c>
      <c r="U24" s="2">
        <v>6.1307401971063102E-2</v>
      </c>
      <c r="V24" s="2">
        <v>6.6077794086810596E-2</v>
      </c>
      <c r="W24" s="2">
        <v>4.3588802684000803E-2</v>
      </c>
      <c r="X24" s="2">
        <v>1.26074648773327E-2</v>
      </c>
      <c r="Y24" s="2">
        <v>1.46519186412245E-2</v>
      </c>
      <c r="Z24" s="2">
        <v>5.2421891381841E-3</v>
      </c>
      <c r="AA24" s="2">
        <v>1.46519186412245E-2</v>
      </c>
      <c r="AB24" s="2">
        <v>5.2421891381841E-3</v>
      </c>
      <c r="AC24" s="19">
        <f t="shared" si="0"/>
        <v>9.5669951771859899E-2</v>
      </c>
      <c r="AD24" s="20" t="str">
        <f t="shared" si="1"/>
        <v>r</v>
      </c>
      <c r="AE24" s="21" t="str">
        <f t="shared" si="6"/>
        <v>sar</v>
      </c>
      <c r="AF24" s="22" t="str">
        <f t="shared" si="2"/>
        <v/>
      </c>
      <c r="AG24" s="19" cm="1">
        <f t="array" ref="AG24">MAX(IF($C24:$AB24&lt;AC24,$C24:$AB24))</f>
        <v>8.7570769553365402E-2</v>
      </c>
      <c r="AH24" s="20" t="str">
        <f t="shared" si="3"/>
        <v>a</v>
      </c>
      <c r="AI24" s="21" t="str">
        <f t="shared" si="4"/>
        <v>cea</v>
      </c>
      <c r="AJ24" s="22" t="str">
        <f t="shared" si="5"/>
        <v/>
      </c>
    </row>
    <row r="25" spans="1:36" x14ac:dyDescent="0.25">
      <c r="A25" s="2">
        <v>7</v>
      </c>
      <c r="B25" s="2">
        <v>4</v>
      </c>
      <c r="C25" s="2">
        <v>7.6719438037324297E-2</v>
      </c>
      <c r="D25" s="2">
        <v>3.18462990144684E-2</v>
      </c>
      <c r="E25" s="2">
        <v>4.1885091214091001E-2</v>
      </c>
      <c r="F25" s="2">
        <v>4.2854896204654998E-2</v>
      </c>
      <c r="G25" s="2">
        <v>7.1293772279303794E-2</v>
      </c>
      <c r="H25" s="2">
        <v>1.94747326483539E-2</v>
      </c>
      <c r="I25" s="2">
        <v>3.54634095198154E-2</v>
      </c>
      <c r="J25" s="2">
        <v>2.7757391486684799E-2</v>
      </c>
      <c r="K25" s="2">
        <v>7.2237366324176905E-2</v>
      </c>
      <c r="L25" s="2">
        <v>2.2017194380373199E-3</v>
      </c>
      <c r="M25" s="2">
        <v>2.75477039211574E-2</v>
      </c>
      <c r="N25" s="2">
        <v>7.3285804151813794E-2</v>
      </c>
      <c r="O25" s="2">
        <v>3.5070245334451598E-2</v>
      </c>
      <c r="P25" s="2">
        <v>5.54623610819878E-2</v>
      </c>
      <c r="Q25" s="2">
        <v>5.6143845669951703E-2</v>
      </c>
      <c r="R25" s="2">
        <v>3.76127070664709E-2</v>
      </c>
      <c r="S25" s="2">
        <v>2.2803522751100799E-3</v>
      </c>
      <c r="T25" s="2">
        <v>6.8331935416229797E-2</v>
      </c>
      <c r="U25" s="2">
        <v>5.2474313273222897E-2</v>
      </c>
      <c r="V25" s="2">
        <v>8.2276158523799506E-2</v>
      </c>
      <c r="W25" s="2">
        <v>3.6931222478506998E-2</v>
      </c>
      <c r="X25" s="2">
        <v>1.2738519605787301E-2</v>
      </c>
      <c r="Y25" s="2">
        <v>1.8400083875026198E-2</v>
      </c>
      <c r="Z25" s="2">
        <v>2.2803522751100799E-3</v>
      </c>
      <c r="AA25" s="2">
        <v>9.5145732858041496E-3</v>
      </c>
      <c r="AB25" s="2">
        <v>7.9157055986580002E-3</v>
      </c>
      <c r="AC25" s="19">
        <f t="shared" si="0"/>
        <v>8.2276158523799506E-2</v>
      </c>
      <c r="AD25" s="20" t="str">
        <f t="shared" si="1"/>
        <v>t</v>
      </c>
      <c r="AE25" s="21" t="str">
        <f t="shared" si="6"/>
        <v>sart</v>
      </c>
      <c r="AF25" s="22" t="str">
        <f t="shared" si="2"/>
        <v/>
      </c>
      <c r="AG25" s="19" cm="1">
        <f t="array" ref="AG25">MAX(IF($C25:$AB25&lt;AC25,$C25:$AB25))</f>
        <v>7.6719438037324297E-2</v>
      </c>
      <c r="AH25" s="20" t="str">
        <f t="shared" si="3"/>
        <v>a</v>
      </c>
      <c r="AI25" s="21" t="str">
        <f t="shared" si="4"/>
        <v>ceaa</v>
      </c>
      <c r="AJ25" s="22" t="str">
        <f t="shared" si="5"/>
        <v/>
      </c>
    </row>
    <row r="26" spans="1:36" x14ac:dyDescent="0.25">
      <c r="A26" s="2">
        <v>7</v>
      </c>
      <c r="B26" s="2">
        <v>5</v>
      </c>
      <c r="C26" s="2">
        <v>9.6299014468441996E-2</v>
      </c>
      <c r="D26" s="2">
        <v>1.91339903543719E-2</v>
      </c>
      <c r="E26" s="2">
        <v>2.2855944642482699E-2</v>
      </c>
      <c r="F26" s="2">
        <v>2.6106101908156799E-2</v>
      </c>
      <c r="G26" s="2">
        <v>0.115223317257286</v>
      </c>
      <c r="H26" s="2">
        <v>1.30268400083875E-2</v>
      </c>
      <c r="I26" s="2">
        <v>2.04707485846089E-2</v>
      </c>
      <c r="J26" s="2">
        <v>2.7469071084084699E-2</v>
      </c>
      <c r="K26" s="2">
        <v>0.18806353533235401</v>
      </c>
      <c r="L26" s="2">
        <v>1.07464877332774E-3</v>
      </c>
      <c r="M26" s="2">
        <v>1.75089117215349E-2</v>
      </c>
      <c r="N26" s="2">
        <v>6.4872090585028297E-2</v>
      </c>
      <c r="O26" s="2">
        <v>2.8648563640176102E-2</v>
      </c>
      <c r="P26" s="2">
        <v>4.5921576850492703E-2</v>
      </c>
      <c r="Q26" s="2">
        <v>8.81736213042566E-2</v>
      </c>
      <c r="R26" s="2">
        <v>1.83214510379534E-2</v>
      </c>
      <c r="S26" s="2">
        <v>1.17949255609142E-3</v>
      </c>
      <c r="T26" s="2">
        <v>4.8175718179911897E-2</v>
      </c>
      <c r="U26" s="2">
        <v>3.29995806248689E-2</v>
      </c>
      <c r="V26" s="2">
        <v>5.9970643740826099E-2</v>
      </c>
      <c r="W26" s="2">
        <v>3.4519815474942303E-2</v>
      </c>
      <c r="X26" s="2">
        <v>7.6011742503669499E-3</v>
      </c>
      <c r="Y26" s="2">
        <v>6.3168379115118396E-3</v>
      </c>
      <c r="Z26" s="2">
        <v>3.27636821136506E-3</v>
      </c>
      <c r="AA26" s="2">
        <v>7.62738519605787E-3</v>
      </c>
      <c r="AB26" s="2">
        <v>5.1635563011113404E-3</v>
      </c>
      <c r="AC26" s="19">
        <f t="shared" si="0"/>
        <v>0.18806353533235401</v>
      </c>
      <c r="AD26" s="20" t="str">
        <f t="shared" si="1"/>
        <v>i</v>
      </c>
      <c r="AE26" s="21" t="str">
        <f t="shared" si="6"/>
        <v>sarti</v>
      </c>
      <c r="AF26" s="22" t="str">
        <f t="shared" si="2"/>
        <v/>
      </c>
      <c r="AG26" s="19" cm="1">
        <f t="array" ref="AG26">MAX(IF($C26:$AB26&lt;AC26,$C26:$AB26))</f>
        <v>0.115223317257286</v>
      </c>
      <c r="AH26" s="20" t="str">
        <f t="shared" si="3"/>
        <v>e</v>
      </c>
      <c r="AI26" s="21" t="str">
        <f t="shared" si="4"/>
        <v>ceaae</v>
      </c>
      <c r="AJ26" s="22" t="str">
        <f t="shared" si="5"/>
        <v/>
      </c>
    </row>
    <row r="27" spans="1:36" x14ac:dyDescent="0.25">
      <c r="A27" s="2">
        <v>7</v>
      </c>
      <c r="B27" s="2">
        <v>6</v>
      </c>
      <c r="C27" s="2">
        <v>7.3574124554413894E-2</v>
      </c>
      <c r="D27" s="2">
        <v>3.6695323967288699E-3</v>
      </c>
      <c r="E27" s="2">
        <v>2.70759068987209E-2</v>
      </c>
      <c r="F27" s="2">
        <v>1.79807087439714E-2</v>
      </c>
      <c r="G27" s="2">
        <v>0.23914866848395799</v>
      </c>
      <c r="H27" s="2">
        <v>7.6798070874397103E-3</v>
      </c>
      <c r="I27" s="2">
        <v>2.07852799328999E-2</v>
      </c>
      <c r="J27" s="2">
        <v>1.17949255609142E-2</v>
      </c>
      <c r="K27" s="2">
        <v>7.9759907737471103E-2</v>
      </c>
      <c r="L27" s="2">
        <v>4.4558607674564899E-4</v>
      </c>
      <c r="M27" s="2">
        <v>1.0877542461732E-2</v>
      </c>
      <c r="N27" s="2">
        <v>7.0690920528412596E-2</v>
      </c>
      <c r="O27" s="2">
        <v>1.6303208219752501E-2</v>
      </c>
      <c r="P27" s="2">
        <v>0.106757181799119</v>
      </c>
      <c r="Q27" s="2">
        <v>4.8201929125602803E-2</v>
      </c>
      <c r="R27" s="2">
        <v>8.9117215349129794E-3</v>
      </c>
      <c r="S27" s="2">
        <v>2.6210945690920499E-5</v>
      </c>
      <c r="T27" s="2">
        <v>8.2590689872090506E-2</v>
      </c>
      <c r="U27" s="2">
        <v>5.5409939190605897E-2</v>
      </c>
      <c r="V27" s="2">
        <v>5.77951352484797E-2</v>
      </c>
      <c r="W27" s="2">
        <v>3.53061438456699E-2</v>
      </c>
      <c r="X27" s="2">
        <v>6.6313692598028899E-3</v>
      </c>
      <c r="Y27" s="2">
        <v>4.8228140071293699E-3</v>
      </c>
      <c r="Z27" s="2">
        <v>1.0222268819459E-3</v>
      </c>
      <c r="AA27" s="2">
        <v>8.3088697840218006E-3</v>
      </c>
      <c r="AB27" s="2">
        <v>4.4296498217655696E-3</v>
      </c>
      <c r="AC27" s="19">
        <f t="shared" si="0"/>
        <v>0.23914866848395799</v>
      </c>
      <c r="AD27" s="20" t="str">
        <f t="shared" si="1"/>
        <v>e</v>
      </c>
      <c r="AE27" s="21" t="str">
        <f t="shared" si="6"/>
        <v>sartie</v>
      </c>
      <c r="AF27" s="22" t="str">
        <f t="shared" si="2"/>
        <v/>
      </c>
      <c r="AG27" s="19" cm="1">
        <f t="array" ref="AG27">MAX(IF($C27:$AB27&lt;AC27,$C27:$AB27))</f>
        <v>0.106757181799119</v>
      </c>
      <c r="AH27" s="20" t="str">
        <f t="shared" si="3"/>
        <v>n</v>
      </c>
      <c r="AI27" s="21" t="str">
        <f t="shared" si="4"/>
        <v>ceaaen</v>
      </c>
      <c r="AJ27" s="22" t="str">
        <f t="shared" si="5"/>
        <v/>
      </c>
    </row>
    <row r="28" spans="1:36" x14ac:dyDescent="0.25">
      <c r="A28" s="2">
        <v>7</v>
      </c>
      <c r="B28" s="2">
        <v>7</v>
      </c>
      <c r="C28" s="2">
        <v>3.9316418536380703E-2</v>
      </c>
      <c r="D28" s="2">
        <v>1.75613336129167E-3</v>
      </c>
      <c r="E28" s="2">
        <v>1.9238834137135601E-2</v>
      </c>
      <c r="F28" s="2">
        <v>9.7609561752988003E-2</v>
      </c>
      <c r="G28" s="2">
        <v>0.14819668693646401</v>
      </c>
      <c r="H28" s="2">
        <v>2.8832040260012501E-3</v>
      </c>
      <c r="I28" s="2">
        <v>5.1452086391276998E-2</v>
      </c>
      <c r="J28" s="2">
        <v>2.24365695114279E-2</v>
      </c>
      <c r="K28" s="2">
        <v>1.09561752988047E-2</v>
      </c>
      <c r="L28" s="2">
        <v>7.8632837072761504E-5</v>
      </c>
      <c r="M28" s="2">
        <v>1.6460473893898001E-2</v>
      </c>
      <c r="N28" s="2">
        <v>4.3588802684000803E-2</v>
      </c>
      <c r="O28" s="2">
        <v>1.9029146571608299E-2</v>
      </c>
      <c r="P28" s="2">
        <v>6.1648144265045002E-2</v>
      </c>
      <c r="Q28" s="2">
        <v>1.36821136506605E-2</v>
      </c>
      <c r="R28" s="2">
        <v>8.4661354581673301E-3</v>
      </c>
      <c r="S28" s="2">
        <v>0</v>
      </c>
      <c r="T28" s="2">
        <v>8.1856783392744797E-2</v>
      </c>
      <c r="U28" s="2">
        <v>0.21726252883204</v>
      </c>
      <c r="V28" s="2">
        <v>6.3980918431536998E-2</v>
      </c>
      <c r="W28" s="2">
        <v>2.8569930803103299E-3</v>
      </c>
      <c r="X28" s="2">
        <v>1.04843782763682E-4</v>
      </c>
      <c r="Y28" s="2">
        <v>4.3772279303837197E-3</v>
      </c>
      <c r="Z28" s="2">
        <v>3.2239463199832201E-3</v>
      </c>
      <c r="AA28" s="2">
        <v>6.8803732438666304E-2</v>
      </c>
      <c r="AB28" s="2">
        <v>7.33906479345774E-4</v>
      </c>
      <c r="AC28" s="19">
        <f t="shared" si="0"/>
        <v>0.21726252883204</v>
      </c>
      <c r="AD28" s="20" t="str">
        <f t="shared" si="1"/>
        <v>s</v>
      </c>
      <c r="AE28" s="21" t="str">
        <f t="shared" si="6"/>
        <v>sarties</v>
      </c>
      <c r="AF28" s="22" t="str">
        <f t="shared" si="2"/>
        <v>sarties</v>
      </c>
      <c r="AG28" s="19" cm="1">
        <f t="array" ref="AG28">MAX(IF($C28:$AB28&lt;AC28,$C28:$AB28))</f>
        <v>0.14819668693646401</v>
      </c>
      <c r="AH28" s="20" t="str">
        <f t="shared" si="3"/>
        <v>e</v>
      </c>
      <c r="AI28" s="21" t="str">
        <f t="shared" si="4"/>
        <v>ceaaene</v>
      </c>
      <c r="AJ28" s="22" t="str">
        <f t="shared" si="5"/>
        <v>ceaaene</v>
      </c>
    </row>
    <row r="29" spans="1:36" x14ac:dyDescent="0.25">
      <c r="A29" s="2">
        <v>8</v>
      </c>
      <c r="B29" s="2">
        <v>1</v>
      </c>
      <c r="C29" s="2">
        <v>6.1397303595206301E-2</v>
      </c>
      <c r="D29" s="2">
        <v>6.3665113182423405E-2</v>
      </c>
      <c r="E29" s="2">
        <v>9.0233854860186397E-2</v>
      </c>
      <c r="F29" s="2">
        <v>5.2097203728362101E-2</v>
      </c>
      <c r="G29" s="2">
        <v>3.9717876165113103E-2</v>
      </c>
      <c r="H29" s="2">
        <v>4.4399134487350202E-2</v>
      </c>
      <c r="I29" s="2">
        <v>3.42251997336884E-2</v>
      </c>
      <c r="J29" s="2">
        <v>3.3601031957390101E-2</v>
      </c>
      <c r="K29" s="2">
        <v>2.4675432756324899E-2</v>
      </c>
      <c r="L29" s="2">
        <v>7.32356857523302E-3</v>
      </c>
      <c r="M29" s="2">
        <v>1.1651131824234299E-2</v>
      </c>
      <c r="N29" s="2">
        <v>3.07714713715046E-2</v>
      </c>
      <c r="O29" s="2">
        <v>5.1119340878828197E-2</v>
      </c>
      <c r="P29" s="2">
        <v>1.9328395472703E-2</v>
      </c>
      <c r="Q29" s="2">
        <v>3.5161451398135798E-2</v>
      </c>
      <c r="R29" s="2">
        <v>7.7750499334220999E-2</v>
      </c>
      <c r="S29" s="2">
        <v>5.5134820239680403E-3</v>
      </c>
      <c r="T29" s="2">
        <v>5.2638149134487298E-2</v>
      </c>
      <c r="U29" s="2">
        <v>0.116823402130492</v>
      </c>
      <c r="V29" s="2">
        <v>5.30126498002663E-2</v>
      </c>
      <c r="W29" s="2">
        <v>4.5917942743009303E-2</v>
      </c>
      <c r="X29" s="2">
        <v>1.6748501997336799E-2</v>
      </c>
      <c r="Y29" s="2">
        <v>2.5008322237017301E-2</v>
      </c>
      <c r="Z29" s="2">
        <v>9.9866844207722994E-4</v>
      </c>
      <c r="AA29" s="2">
        <v>2.8711717709720302E-3</v>
      </c>
      <c r="AB29" s="2">
        <v>3.3497003994673699E-3</v>
      </c>
      <c r="AC29" s="19">
        <f t="shared" si="0"/>
        <v>0.116823402130492</v>
      </c>
      <c r="AD29" s="20" t="str">
        <f t="shared" si="1"/>
        <v>s</v>
      </c>
      <c r="AE29" s="21" t="str">
        <f t="shared" si="6"/>
        <v>s</v>
      </c>
      <c r="AF29" s="22" t="str">
        <f t="shared" si="2"/>
        <v/>
      </c>
      <c r="AG29" s="19" cm="1">
        <f t="array" ref="AG29">MAX(IF($C29:$AB29&lt;AC29,$C29:$AB29))</f>
        <v>9.0233854860186397E-2</v>
      </c>
      <c r="AH29" s="20" t="str">
        <f t="shared" si="3"/>
        <v>c</v>
      </c>
      <c r="AI29" s="21" t="str">
        <f t="shared" si="4"/>
        <v>c</v>
      </c>
      <c r="AJ29" s="22" t="str">
        <f t="shared" si="5"/>
        <v/>
      </c>
    </row>
    <row r="30" spans="1:36" x14ac:dyDescent="0.25">
      <c r="A30" s="2">
        <v>8</v>
      </c>
      <c r="B30" s="2">
        <v>2</v>
      </c>
      <c r="C30" s="2">
        <v>0.144037117177097</v>
      </c>
      <c r="D30" s="2">
        <v>5.6799267643142396E-3</v>
      </c>
      <c r="E30" s="2">
        <v>1.9224367509986601E-2</v>
      </c>
      <c r="F30" s="2">
        <v>6.0336218375499299E-3</v>
      </c>
      <c r="G30" s="2">
        <v>0.14337133821571199</v>
      </c>
      <c r="H30" s="2">
        <v>2.6215046604527201E-3</v>
      </c>
      <c r="I30" s="2">
        <v>3.6201731025299602E-3</v>
      </c>
      <c r="J30" s="2">
        <v>4.0113182423435402E-2</v>
      </c>
      <c r="K30" s="2">
        <v>9.6475532623169102E-2</v>
      </c>
      <c r="L30" s="2">
        <v>3.9530625832223697E-4</v>
      </c>
      <c r="M30" s="2">
        <v>3.66178428761651E-3</v>
      </c>
      <c r="N30" s="2">
        <v>4.6770972037283601E-2</v>
      </c>
      <c r="O30" s="2">
        <v>1.5292110519307499E-2</v>
      </c>
      <c r="P30" s="2">
        <v>7.6647802929427397E-2</v>
      </c>
      <c r="Q30" s="2">
        <v>0.13090878828229</v>
      </c>
      <c r="R30" s="2">
        <v>2.3052596537949398E-2</v>
      </c>
      <c r="S30" s="2">
        <v>3.1000332889480598E-3</v>
      </c>
      <c r="T30" s="2">
        <v>8.1245838881491297E-2</v>
      </c>
      <c r="U30" s="2">
        <v>1.1359853528628399E-2</v>
      </c>
      <c r="V30" s="2">
        <v>2.1575399467376799E-2</v>
      </c>
      <c r="W30" s="2">
        <v>8.0413615179760298E-2</v>
      </c>
      <c r="X30" s="2">
        <v>1.1984021304926699E-2</v>
      </c>
      <c r="Y30" s="2">
        <v>6.1792609853528599E-3</v>
      </c>
      <c r="Z30" s="2">
        <v>7.6564580559254298E-3</v>
      </c>
      <c r="AA30" s="2">
        <v>1.7580725699067899E-2</v>
      </c>
      <c r="AB30" s="2">
        <v>9.9866844207722994E-4</v>
      </c>
      <c r="AC30" s="19">
        <f t="shared" si="0"/>
        <v>0.144037117177097</v>
      </c>
      <c r="AD30" s="20" t="str">
        <f t="shared" si="1"/>
        <v>a</v>
      </c>
      <c r="AE30" s="21" t="str">
        <f t="shared" si="6"/>
        <v>sa</v>
      </c>
      <c r="AF30" s="22" t="str">
        <f t="shared" si="2"/>
        <v/>
      </c>
      <c r="AG30" s="19" cm="1">
        <f t="array" ref="AG30">MAX(IF($C30:$AB30&lt;AC30,$C30:$AB30))</f>
        <v>0.14337133821571199</v>
      </c>
      <c r="AH30" s="20" t="str">
        <f t="shared" si="3"/>
        <v>e</v>
      </c>
      <c r="AI30" s="21" t="str">
        <f t="shared" si="4"/>
        <v>ce</v>
      </c>
      <c r="AJ30" s="22" t="str">
        <f t="shared" si="5"/>
        <v/>
      </c>
    </row>
    <row r="31" spans="1:36" x14ac:dyDescent="0.25">
      <c r="A31" s="2">
        <v>8</v>
      </c>
      <c r="B31" s="2">
        <v>3</v>
      </c>
      <c r="C31" s="2">
        <v>8.7300266311584496E-2</v>
      </c>
      <c r="D31" s="2">
        <v>2.9335885486018599E-2</v>
      </c>
      <c r="E31" s="2">
        <v>4.7873668442077202E-2</v>
      </c>
      <c r="F31" s="2">
        <v>2.9419107856191701E-2</v>
      </c>
      <c r="G31" s="2">
        <v>7.03853195739014E-2</v>
      </c>
      <c r="H31" s="2">
        <v>1.63531957390146E-2</v>
      </c>
      <c r="I31" s="2">
        <v>2.6589547270306199E-2</v>
      </c>
      <c r="J31" s="2">
        <v>1.2691411451398101E-2</v>
      </c>
      <c r="K31" s="2">
        <v>6.3998002663115797E-2</v>
      </c>
      <c r="L31" s="2">
        <v>3.0792276964047901E-3</v>
      </c>
      <c r="M31" s="2">
        <v>5.5134820239680403E-3</v>
      </c>
      <c r="N31" s="2">
        <v>6.8159121171770906E-2</v>
      </c>
      <c r="O31" s="2">
        <v>4.1423934753661698E-2</v>
      </c>
      <c r="P31" s="2">
        <v>7.7188748335552601E-2</v>
      </c>
      <c r="Q31" s="2">
        <v>6.9136984021304901E-2</v>
      </c>
      <c r="R31" s="2">
        <v>3.5744007989347501E-2</v>
      </c>
      <c r="S31" s="2">
        <v>2.01814247669773E-3</v>
      </c>
      <c r="T31" s="2">
        <v>9.78695073235685E-2</v>
      </c>
      <c r="U31" s="2">
        <v>6.29161118508655E-2</v>
      </c>
      <c r="V31" s="2">
        <v>6.66195073235685E-2</v>
      </c>
      <c r="W31" s="2">
        <v>4.1111850865512597E-2</v>
      </c>
      <c r="X31" s="2">
        <v>1.6124334221038601E-2</v>
      </c>
      <c r="Y31" s="2">
        <v>1.04444074567243E-2</v>
      </c>
      <c r="Z31" s="2">
        <v>4.41078561917443E-3</v>
      </c>
      <c r="AA31" s="2">
        <v>1.05068242343541E-2</v>
      </c>
      <c r="AB31" s="2">
        <v>3.7866178428761599E-3</v>
      </c>
      <c r="AC31" s="19">
        <f t="shared" si="0"/>
        <v>9.78695073235685E-2</v>
      </c>
      <c r="AD31" s="20" t="str">
        <f t="shared" si="1"/>
        <v>r</v>
      </c>
      <c r="AE31" s="21" t="str">
        <f t="shared" si="6"/>
        <v>sar</v>
      </c>
      <c r="AF31" s="22" t="str">
        <f t="shared" si="2"/>
        <v/>
      </c>
      <c r="AG31" s="19" cm="1">
        <f t="array" ref="AG31">MAX(IF($C31:$AB31&lt;AC31,$C31:$AB31))</f>
        <v>8.7300266311584496E-2</v>
      </c>
      <c r="AH31" s="20" t="str">
        <f t="shared" si="3"/>
        <v>a</v>
      </c>
      <c r="AI31" s="21" t="str">
        <f t="shared" si="4"/>
        <v>cea</v>
      </c>
      <c r="AJ31" s="22" t="str">
        <f t="shared" si="5"/>
        <v/>
      </c>
    </row>
    <row r="32" spans="1:36" x14ac:dyDescent="0.25">
      <c r="A32" s="2">
        <v>8</v>
      </c>
      <c r="B32" s="2">
        <v>4</v>
      </c>
      <c r="C32" s="2">
        <v>8.6676098535286197E-2</v>
      </c>
      <c r="D32" s="2">
        <v>2.5757323568575199E-2</v>
      </c>
      <c r="E32" s="2">
        <v>4.1902463382157099E-2</v>
      </c>
      <c r="F32" s="2">
        <v>4.0071571238348799E-2</v>
      </c>
      <c r="G32" s="2">
        <v>0.102446737683089</v>
      </c>
      <c r="H32" s="2">
        <v>1.68317243675099E-2</v>
      </c>
      <c r="I32" s="2">
        <v>3.0168109187749599E-2</v>
      </c>
      <c r="J32" s="2">
        <v>2.6048601864180999E-2</v>
      </c>
      <c r="K32" s="2">
        <v>8.3513648468708304E-2</v>
      </c>
      <c r="L32" s="2">
        <v>1.1651131824234301E-3</v>
      </c>
      <c r="M32" s="2">
        <v>2.1741844207722998E-2</v>
      </c>
      <c r="N32" s="2">
        <v>5.7631491344873498E-2</v>
      </c>
      <c r="O32" s="2">
        <v>3.3288948069241001E-2</v>
      </c>
      <c r="P32" s="2">
        <v>5.1764314247669703E-2</v>
      </c>
      <c r="Q32" s="2">
        <v>7.0052430093208995E-2</v>
      </c>
      <c r="R32" s="2">
        <v>3.7928595206391399E-2</v>
      </c>
      <c r="S32" s="2">
        <v>2.24700399467376E-3</v>
      </c>
      <c r="T32" s="2">
        <v>6.8304760319573901E-2</v>
      </c>
      <c r="U32" s="2">
        <v>4.7728029294274298E-2</v>
      </c>
      <c r="V32" s="2">
        <v>7.7688082556591195E-2</v>
      </c>
      <c r="W32" s="2">
        <v>3.7242010652463298E-2</v>
      </c>
      <c r="X32" s="2">
        <v>1.05900466045272E-2</v>
      </c>
      <c r="Y32" s="2">
        <v>1.20880492676431E-2</v>
      </c>
      <c r="Z32" s="2">
        <v>1.7268641810918701E-3</v>
      </c>
      <c r="AA32" s="2">
        <v>1.07148801597869E-2</v>
      </c>
      <c r="AB32" s="2">
        <v>4.6812583222370103E-3</v>
      </c>
      <c r="AC32" s="19">
        <f t="shared" si="0"/>
        <v>0.102446737683089</v>
      </c>
      <c r="AD32" s="20" t="str">
        <f t="shared" si="1"/>
        <v>e</v>
      </c>
      <c r="AE32" s="21" t="str">
        <f t="shared" si="6"/>
        <v>sare</v>
      </c>
      <c r="AF32" s="22" t="str">
        <f t="shared" si="2"/>
        <v/>
      </c>
      <c r="AG32" s="19" cm="1">
        <f t="array" ref="AG32">MAX(IF($C32:$AB32&lt;AC32,$C32:$AB32))</f>
        <v>8.6676098535286197E-2</v>
      </c>
      <c r="AH32" s="20" t="str">
        <f t="shared" si="3"/>
        <v>a</v>
      </c>
      <c r="AI32" s="21" t="str">
        <f t="shared" si="4"/>
        <v>ceaa</v>
      </c>
      <c r="AJ32" s="22" t="str">
        <f t="shared" si="5"/>
        <v/>
      </c>
    </row>
    <row r="33" spans="1:36" x14ac:dyDescent="0.25">
      <c r="A33" s="2">
        <v>8</v>
      </c>
      <c r="B33" s="2">
        <v>5</v>
      </c>
      <c r="C33" s="2">
        <v>8.7945239680426099E-2</v>
      </c>
      <c r="D33" s="2">
        <v>2.54036284953395E-2</v>
      </c>
      <c r="E33" s="2">
        <v>3.7117177097203698E-2</v>
      </c>
      <c r="F33" s="2">
        <v>2.9356691078561901E-2</v>
      </c>
      <c r="G33" s="2">
        <v>7.8978029294274305E-2</v>
      </c>
      <c r="H33" s="2">
        <v>1.8329727030625801E-2</v>
      </c>
      <c r="I33" s="2">
        <v>2.29693741677762E-2</v>
      </c>
      <c r="J33" s="2">
        <v>3.5827230359520602E-2</v>
      </c>
      <c r="K33" s="2">
        <v>9.0629161118508605E-2</v>
      </c>
      <c r="L33" s="2">
        <v>1.2067243675099801E-3</v>
      </c>
      <c r="M33" s="2">
        <v>1.6894141145139801E-2</v>
      </c>
      <c r="N33" s="2">
        <v>9.2293608521970702E-2</v>
      </c>
      <c r="O33" s="2">
        <v>2.75049933422103E-2</v>
      </c>
      <c r="P33" s="2">
        <v>5.77979360852197E-2</v>
      </c>
      <c r="Q33" s="2">
        <v>6.6848368841544603E-2</v>
      </c>
      <c r="R33" s="2">
        <v>2.67143808255659E-2</v>
      </c>
      <c r="S33" s="2">
        <v>1.2483355525965301E-3</v>
      </c>
      <c r="T33" s="2">
        <v>7.63981358189081E-2</v>
      </c>
      <c r="U33" s="2">
        <v>5.2013981358189E-2</v>
      </c>
      <c r="V33" s="2">
        <v>7.2445073235685706E-2</v>
      </c>
      <c r="W33" s="2">
        <v>3.1915778961384797E-2</v>
      </c>
      <c r="X33" s="2">
        <v>6.6161784287616498E-3</v>
      </c>
      <c r="Y33" s="2">
        <v>2.1929094540612499E-2</v>
      </c>
      <c r="Z33" s="2">
        <v>2.3510319573901402E-3</v>
      </c>
      <c r="AA33" s="2">
        <v>1.38981358189081E-2</v>
      </c>
      <c r="AB33" s="2">
        <v>5.3678428761651104E-3</v>
      </c>
      <c r="AC33" s="19">
        <f t="shared" si="0"/>
        <v>9.2293608521970702E-2</v>
      </c>
      <c r="AD33" s="20" t="str">
        <f t="shared" si="1"/>
        <v>l</v>
      </c>
      <c r="AE33" s="21" t="str">
        <f t="shared" si="6"/>
        <v>sarel</v>
      </c>
      <c r="AF33" s="22" t="str">
        <f t="shared" si="2"/>
        <v/>
      </c>
      <c r="AG33" s="19" cm="1">
        <f t="array" ref="AG33">MAX(IF($C33:$AB33&lt;AC33,$C33:$AB33))</f>
        <v>9.0629161118508605E-2</v>
      </c>
      <c r="AH33" s="20" t="str">
        <f t="shared" si="3"/>
        <v>i</v>
      </c>
      <c r="AI33" s="21" t="str">
        <f t="shared" si="4"/>
        <v>ceaai</v>
      </c>
      <c r="AJ33" s="22" t="str">
        <f t="shared" si="5"/>
        <v/>
      </c>
    </row>
    <row r="34" spans="1:36" x14ac:dyDescent="0.25">
      <c r="A34" s="2">
        <v>8</v>
      </c>
      <c r="B34" s="2">
        <v>6</v>
      </c>
      <c r="C34" s="2">
        <v>9.0358688415446003E-2</v>
      </c>
      <c r="D34" s="2">
        <v>2.0243841544607101E-2</v>
      </c>
      <c r="E34" s="2">
        <v>2.2511651131824201E-2</v>
      </c>
      <c r="F34" s="2">
        <v>2.5674101198402102E-2</v>
      </c>
      <c r="G34" s="2">
        <v>0.118862350199733</v>
      </c>
      <c r="H34" s="2">
        <v>9.6746005326231697E-3</v>
      </c>
      <c r="I34" s="2">
        <v>2.15337882822902E-2</v>
      </c>
      <c r="J34" s="2">
        <v>2.1367343541944001E-2</v>
      </c>
      <c r="K34" s="2">
        <v>0.20424850199733599</v>
      </c>
      <c r="L34" s="2">
        <v>6.2416777629826896E-4</v>
      </c>
      <c r="M34" s="2">
        <v>1.03195739014647E-2</v>
      </c>
      <c r="N34" s="2">
        <v>5.2971038615179697E-2</v>
      </c>
      <c r="O34" s="2">
        <v>2.6860019973368801E-2</v>
      </c>
      <c r="P34" s="2">
        <v>5.7340213049267598E-2</v>
      </c>
      <c r="Q34" s="2">
        <v>9.3708388814913404E-2</v>
      </c>
      <c r="R34" s="2">
        <v>1.31491344873502E-2</v>
      </c>
      <c r="S34" s="2">
        <v>8.1141810918774896E-4</v>
      </c>
      <c r="T34" s="2">
        <v>5.37408455392809E-2</v>
      </c>
      <c r="U34" s="2">
        <v>3.2997669773635101E-2</v>
      </c>
      <c r="V34" s="2">
        <v>6.4767809587217007E-2</v>
      </c>
      <c r="W34" s="2">
        <v>2.7109687083888102E-2</v>
      </c>
      <c r="X34" s="2">
        <v>8.3222370173102501E-3</v>
      </c>
      <c r="Y34" s="2">
        <v>6.3249001331557898E-3</v>
      </c>
      <c r="Z34" s="2">
        <v>3.5369507323568502E-3</v>
      </c>
      <c r="AA34" s="2">
        <v>7.9685419440745607E-3</v>
      </c>
      <c r="AB34" s="2">
        <v>4.9725366178428702E-3</v>
      </c>
      <c r="AC34" s="19">
        <f t="shared" si="0"/>
        <v>0.20424850199733599</v>
      </c>
      <c r="AD34" s="20" t="str">
        <f t="shared" si="1"/>
        <v>i</v>
      </c>
      <c r="AE34" s="21" t="str">
        <f t="shared" si="6"/>
        <v>sareli</v>
      </c>
      <c r="AF34" s="22" t="str">
        <f t="shared" si="2"/>
        <v/>
      </c>
      <c r="AG34" s="19" cm="1">
        <f t="array" ref="AG34">MAX(IF($C34:$AB34&lt;AC34,$C34:$AB34))</f>
        <v>0.118862350199733</v>
      </c>
      <c r="AH34" s="20" t="str">
        <f t="shared" si="3"/>
        <v>e</v>
      </c>
      <c r="AI34" s="21" t="str">
        <f t="shared" si="4"/>
        <v>ceaaie</v>
      </c>
      <c r="AJ34" s="22" t="str">
        <f t="shared" si="5"/>
        <v/>
      </c>
    </row>
    <row r="35" spans="1:36" x14ac:dyDescent="0.25">
      <c r="A35" s="2">
        <v>8</v>
      </c>
      <c r="B35" s="2">
        <v>7</v>
      </c>
      <c r="C35" s="2">
        <v>7.0967876165113103E-2</v>
      </c>
      <c r="D35" s="2">
        <v>1.8933089214380799E-3</v>
      </c>
      <c r="E35" s="2">
        <v>2.52996005326231E-2</v>
      </c>
      <c r="F35" s="2">
        <v>1.84337549933422E-2</v>
      </c>
      <c r="G35" s="2">
        <v>0.22108022636484601</v>
      </c>
      <c r="H35" s="2">
        <v>5.2846205059920099E-3</v>
      </c>
      <c r="I35" s="2">
        <v>2.16586218375499E-2</v>
      </c>
      <c r="J35" s="2">
        <v>7.46920772303595E-3</v>
      </c>
      <c r="K35" s="2">
        <v>7.7875332889480606E-2</v>
      </c>
      <c r="L35" s="2">
        <v>2.2886151797603101E-4</v>
      </c>
      <c r="M35" s="2">
        <v>1.6145139813581798E-2</v>
      </c>
      <c r="N35" s="2">
        <v>7.0718209054593806E-2</v>
      </c>
      <c r="O35" s="2">
        <v>1.6894141145139801E-2</v>
      </c>
      <c r="P35" s="2">
        <v>0.111788448735019</v>
      </c>
      <c r="Q35" s="2">
        <v>4.8206557922769601E-2</v>
      </c>
      <c r="R35" s="2">
        <v>8.4678761651131793E-3</v>
      </c>
      <c r="S35" s="2">
        <v>0</v>
      </c>
      <c r="T35" s="2">
        <v>7.8790778961384797E-2</v>
      </c>
      <c r="U35" s="2">
        <v>7.5482689747003895E-2</v>
      </c>
      <c r="V35" s="2">
        <v>6.5641644474034602E-2</v>
      </c>
      <c r="W35" s="2">
        <v>3.5223868175765602E-2</v>
      </c>
      <c r="X35" s="2">
        <v>5.5758988015978698E-3</v>
      </c>
      <c r="Y35" s="2">
        <v>3.2248668442077201E-3</v>
      </c>
      <c r="Z35" s="2">
        <v>5.4094540612516597E-4</v>
      </c>
      <c r="AA35" s="2">
        <v>6.6161784287616498E-3</v>
      </c>
      <c r="AB35" s="2">
        <v>6.4913448735019899E-3</v>
      </c>
      <c r="AC35" s="19">
        <f t="shared" si="0"/>
        <v>0.22108022636484601</v>
      </c>
      <c r="AD35" s="20" t="str">
        <f t="shared" si="1"/>
        <v>e</v>
      </c>
      <c r="AE35" s="21" t="str">
        <f t="shared" si="6"/>
        <v>sarelie</v>
      </c>
      <c r="AF35" s="22" t="str">
        <f t="shared" si="2"/>
        <v/>
      </c>
      <c r="AG35" s="19" cm="1">
        <f t="array" ref="AG35">MAX(IF($C35:$AB35&lt;AC35,$C35:$AB35))</f>
        <v>0.111788448735019</v>
      </c>
      <c r="AH35" s="20" t="str">
        <f t="shared" si="3"/>
        <v>n</v>
      </c>
      <c r="AI35" s="21" t="str">
        <f t="shared" si="4"/>
        <v>ceaaien</v>
      </c>
      <c r="AJ35" s="22" t="str">
        <f t="shared" si="5"/>
        <v/>
      </c>
    </row>
    <row r="36" spans="1:36" x14ac:dyDescent="0.25">
      <c r="A36" s="2">
        <v>8</v>
      </c>
      <c r="B36" s="2">
        <v>8</v>
      </c>
      <c r="C36" s="2">
        <v>2.8690912117177E-2</v>
      </c>
      <c r="D36" s="2">
        <v>1.2067243675099801E-3</v>
      </c>
      <c r="E36" s="2">
        <v>2.4363348868175701E-2</v>
      </c>
      <c r="F36" s="2">
        <v>0.111393142476697</v>
      </c>
      <c r="G36" s="2">
        <v>0.155396970705725</v>
      </c>
      <c r="H36" s="2">
        <v>2.53828229027962E-3</v>
      </c>
      <c r="I36" s="2">
        <v>5.5030792276964002E-2</v>
      </c>
      <c r="J36" s="2">
        <v>2.0514314247669699E-2</v>
      </c>
      <c r="K36" s="2">
        <v>6.5329560585885398E-3</v>
      </c>
      <c r="L36" s="2">
        <v>0</v>
      </c>
      <c r="M36" s="2">
        <v>1.47303595206391E-2</v>
      </c>
      <c r="N36" s="2">
        <v>4.2131324900133098E-2</v>
      </c>
      <c r="O36" s="2">
        <v>2.5882157123834799E-2</v>
      </c>
      <c r="P36" s="2">
        <v>5.5342876165113103E-2</v>
      </c>
      <c r="Q36" s="2">
        <v>1.00282956058588E-2</v>
      </c>
      <c r="R36" s="2">
        <v>7.0114846870838804E-3</v>
      </c>
      <c r="S36" s="2">
        <v>2.08055925432756E-5</v>
      </c>
      <c r="T36" s="2">
        <v>6.7056424766977304E-2</v>
      </c>
      <c r="U36" s="2">
        <v>0.230193075898801</v>
      </c>
      <c r="V36" s="2">
        <v>6.6640312916111805E-2</v>
      </c>
      <c r="W36" s="2">
        <v>1.5396138482023901E-3</v>
      </c>
      <c r="X36" s="2">
        <v>8.3222370173102495E-5</v>
      </c>
      <c r="Y36" s="2">
        <v>3.6409786950732299E-3</v>
      </c>
      <c r="Z36" s="2">
        <v>2.53828229027962E-3</v>
      </c>
      <c r="AA36" s="2">
        <v>6.7222869507323493E-2</v>
      </c>
      <c r="AB36" s="2">
        <v>2.7047270306258299E-4</v>
      </c>
      <c r="AC36" s="19">
        <f t="shared" si="0"/>
        <v>0.230193075898801</v>
      </c>
      <c r="AD36" s="20" t="str">
        <f t="shared" si="1"/>
        <v>s</v>
      </c>
      <c r="AE36" s="21" t="str">
        <f t="shared" si="6"/>
        <v>sarelies</v>
      </c>
      <c r="AF36" s="22" t="str">
        <f t="shared" si="2"/>
        <v>sarelies</v>
      </c>
      <c r="AG36" s="19" cm="1">
        <f t="array" ref="AG36">MAX(IF($C36:$AB36&lt;AC36,$C36:$AB36))</f>
        <v>0.155396970705725</v>
      </c>
      <c r="AH36" s="20" t="str">
        <f t="shared" si="3"/>
        <v>e</v>
      </c>
      <c r="AI36" s="21" t="str">
        <f t="shared" si="4"/>
        <v>ceaaiene</v>
      </c>
      <c r="AJ36" s="22" t="str">
        <f t="shared" si="5"/>
        <v>ceaaiene</v>
      </c>
    </row>
    <row r="37" spans="1:36" x14ac:dyDescent="0.25">
      <c r="A37" s="2">
        <v>9</v>
      </c>
      <c r="B37" s="2">
        <v>1</v>
      </c>
      <c r="C37" s="2">
        <v>6.6429178642270104E-2</v>
      </c>
      <c r="D37" s="2">
        <v>5.4588511516819802E-2</v>
      </c>
      <c r="E37" s="2">
        <v>8.8653200016192299E-2</v>
      </c>
      <c r="F37" s="2">
        <v>5.38598550783305E-2</v>
      </c>
      <c r="G37" s="2">
        <v>4.2525199368497697E-2</v>
      </c>
      <c r="H37" s="2">
        <v>3.7566287495445799E-2</v>
      </c>
      <c r="I37" s="2">
        <v>2.9348662105817099E-2</v>
      </c>
      <c r="J37" s="2">
        <v>3.51981540703558E-2</v>
      </c>
      <c r="K37" s="2">
        <v>3.2060883293527097E-2</v>
      </c>
      <c r="L37" s="2">
        <v>6.6186293162773698E-3</v>
      </c>
      <c r="M37" s="2">
        <v>7.6913735173865499E-3</v>
      </c>
      <c r="N37" s="2">
        <v>2.6312593612111801E-2</v>
      </c>
      <c r="O37" s="2">
        <v>5.4973080192689101E-2</v>
      </c>
      <c r="P37" s="2">
        <v>2.26895518762903E-2</v>
      </c>
      <c r="Q37" s="2">
        <v>3.6351860097963803E-2</v>
      </c>
      <c r="R37" s="2">
        <v>8.9159211431809895E-2</v>
      </c>
      <c r="S37" s="2">
        <v>4.8779500465530503E-3</v>
      </c>
      <c r="T37" s="2">
        <v>5.0338015625632497E-2</v>
      </c>
      <c r="U37" s="2">
        <v>0.111302270979233</v>
      </c>
      <c r="V37" s="2">
        <v>5.0459458365380697E-2</v>
      </c>
      <c r="W37" s="2">
        <v>5.72602517912804E-2</v>
      </c>
      <c r="X37" s="2">
        <v>1.5868517993765902E-2</v>
      </c>
      <c r="Y37" s="2">
        <v>1.9592762012710999E-2</v>
      </c>
      <c r="Z37" s="2">
        <v>1.1537060276079799E-3</v>
      </c>
      <c r="AA37" s="2">
        <v>1.7001983564749201E-3</v>
      </c>
      <c r="AB37" s="2">
        <v>3.42063716957454E-3</v>
      </c>
      <c r="AC37" s="19">
        <f t="shared" si="0"/>
        <v>0.111302270979233</v>
      </c>
      <c r="AD37" s="20" t="str">
        <f t="shared" si="1"/>
        <v>s</v>
      </c>
      <c r="AE37" s="21" t="str">
        <f t="shared" si="6"/>
        <v>s</v>
      </c>
      <c r="AF37" s="22" t="str">
        <f t="shared" si="2"/>
        <v/>
      </c>
      <c r="AG37" s="19" cm="1">
        <f t="array" ref="AG37">MAX(IF($C37:$AB37&lt;AC37,$C37:$AB37))</f>
        <v>8.9159211431809895E-2</v>
      </c>
      <c r="AH37" s="20" t="str">
        <f t="shared" si="3"/>
        <v>p</v>
      </c>
      <c r="AI37" s="21" t="str">
        <f t="shared" si="4"/>
        <v>p</v>
      </c>
      <c r="AJ37" s="22" t="str">
        <f t="shared" si="5"/>
        <v/>
      </c>
    </row>
    <row r="38" spans="1:36" x14ac:dyDescent="0.25">
      <c r="A38" s="2">
        <v>9</v>
      </c>
      <c r="B38" s="2">
        <v>2</v>
      </c>
      <c r="C38" s="2">
        <v>0.128931708699348</v>
      </c>
      <c r="D38" s="2">
        <v>6.2745415536574504E-3</v>
      </c>
      <c r="E38" s="2">
        <v>1.9268914706715701E-2</v>
      </c>
      <c r="F38" s="2">
        <v>5.9102133344128196E-3</v>
      </c>
      <c r="G38" s="2">
        <v>0.14959721491316799</v>
      </c>
      <c r="H38" s="2">
        <v>3.50159899607335E-3</v>
      </c>
      <c r="I38" s="2">
        <v>2.6312593612111798E-3</v>
      </c>
      <c r="J38" s="2">
        <v>4.0096344573533498E-2</v>
      </c>
      <c r="K38" s="2">
        <v>9.0312917459417802E-2</v>
      </c>
      <c r="L38" s="2">
        <v>2.0240456624701401E-4</v>
      </c>
      <c r="M38" s="2">
        <v>2.1859693154677499E-3</v>
      </c>
      <c r="N38" s="2">
        <v>4.2747844391369402E-2</v>
      </c>
      <c r="O38" s="2">
        <v>1.57065943407683E-2</v>
      </c>
      <c r="P38" s="2">
        <v>9.6081447597457695E-2</v>
      </c>
      <c r="Q38" s="2">
        <v>0.123669189976925</v>
      </c>
      <c r="R38" s="2">
        <v>2.3681334250900701E-2</v>
      </c>
      <c r="S38" s="2">
        <v>3.7849653888191699E-3</v>
      </c>
      <c r="T38" s="2">
        <v>8.4908715540622598E-2</v>
      </c>
      <c r="U38" s="2">
        <v>1.2650285390438399E-2</v>
      </c>
      <c r="V38" s="2">
        <v>2.1333441282435299E-2</v>
      </c>
      <c r="W38" s="2">
        <v>7.6286281018499699E-2</v>
      </c>
      <c r="X38" s="2">
        <v>1.3014613609683E-2</v>
      </c>
      <c r="Y38" s="2">
        <v>4.5338622839331197E-3</v>
      </c>
      <c r="Z38" s="2">
        <v>9.7963810063554993E-3</v>
      </c>
      <c r="AA38" s="2">
        <v>2.1981135894425699E-2</v>
      </c>
      <c r="AB38" s="2">
        <v>9.1082054811156504E-4</v>
      </c>
      <c r="AC38" s="19">
        <f t="shared" si="0"/>
        <v>0.14959721491316799</v>
      </c>
      <c r="AD38" s="20" t="str">
        <f t="shared" si="1"/>
        <v>e</v>
      </c>
      <c r="AE38" s="21" t="str">
        <f t="shared" si="6"/>
        <v>se</v>
      </c>
      <c r="AF38" s="22" t="str">
        <f t="shared" si="2"/>
        <v/>
      </c>
      <c r="AG38" s="19" cm="1">
        <f t="array" ref="AG38">MAX(IF($C38:$AB38&lt;AC38,$C38:$AB38))</f>
        <v>0.128931708699348</v>
      </c>
      <c r="AH38" s="20" t="str">
        <f t="shared" si="3"/>
        <v>a</v>
      </c>
      <c r="AI38" s="21" t="str">
        <f t="shared" si="4"/>
        <v>pa</v>
      </c>
      <c r="AJ38" s="22" t="str">
        <f t="shared" si="5"/>
        <v/>
      </c>
    </row>
    <row r="39" spans="1:36" x14ac:dyDescent="0.25">
      <c r="A39" s="2">
        <v>9</v>
      </c>
      <c r="B39" s="2">
        <v>3</v>
      </c>
      <c r="C39" s="2">
        <v>8.2459620289033697E-2</v>
      </c>
      <c r="D39" s="2">
        <v>2.8194956078209099E-2</v>
      </c>
      <c r="E39" s="2">
        <v>5.4608751973444503E-2</v>
      </c>
      <c r="F39" s="2">
        <v>3.2222806946524699E-2</v>
      </c>
      <c r="G39" s="2">
        <v>7.3351414807918E-2</v>
      </c>
      <c r="H39" s="2">
        <v>1.56458729708942E-2</v>
      </c>
      <c r="I39" s="2">
        <v>2.5604177630247301E-2</v>
      </c>
      <c r="J39" s="2">
        <v>1.0950087033963401E-2</v>
      </c>
      <c r="K39" s="2">
        <v>6.1773873618588798E-2</v>
      </c>
      <c r="L39" s="2">
        <v>2.4895761648382701E-3</v>
      </c>
      <c r="M39" s="2">
        <v>3.66352264907096E-3</v>
      </c>
      <c r="N39" s="2">
        <v>6.5133789418289206E-2</v>
      </c>
      <c r="O39" s="2">
        <v>3.9954661377160597E-2</v>
      </c>
      <c r="P39" s="2">
        <v>7.3594300287414399E-2</v>
      </c>
      <c r="Q39" s="2">
        <v>6.87973120673602E-2</v>
      </c>
      <c r="R39" s="2">
        <v>4.1452455167388498E-2</v>
      </c>
      <c r="S39" s="2">
        <v>2.3276525118406601E-3</v>
      </c>
      <c r="T39" s="2">
        <v>9.8388859652673702E-2</v>
      </c>
      <c r="U39" s="2">
        <v>6.9141399829980105E-2</v>
      </c>
      <c r="V39" s="2">
        <v>7.44443994656519E-2</v>
      </c>
      <c r="W39" s="2">
        <v>3.6635226490709598E-2</v>
      </c>
      <c r="X39" s="2">
        <v>1.4451686030036799E-2</v>
      </c>
      <c r="Y39" s="2">
        <v>8.6021940654981092E-3</v>
      </c>
      <c r="Z39" s="2">
        <v>4.5743431971825201E-3</v>
      </c>
      <c r="AA39" s="2">
        <v>9.1486863943650507E-3</v>
      </c>
      <c r="AB39" s="2">
        <v>2.3883738817147698E-3</v>
      </c>
      <c r="AC39" s="19">
        <f t="shared" si="0"/>
        <v>9.8388859652673702E-2</v>
      </c>
      <c r="AD39" s="20" t="str">
        <f t="shared" si="1"/>
        <v>r</v>
      </c>
      <c r="AE39" s="21" t="str">
        <f t="shared" si="6"/>
        <v>ser</v>
      </c>
      <c r="AF39" s="22" t="str">
        <f t="shared" si="2"/>
        <v/>
      </c>
      <c r="AG39" s="19" cm="1">
        <f t="array" ref="AG39">MAX(IF($C39:$AB39&lt;AC39,$C39:$AB39))</f>
        <v>8.2459620289033697E-2</v>
      </c>
      <c r="AH39" s="20" t="str">
        <f t="shared" si="3"/>
        <v>a</v>
      </c>
      <c r="AI39" s="21" t="str">
        <f t="shared" si="4"/>
        <v>paa</v>
      </c>
      <c r="AJ39" s="22" t="str">
        <f t="shared" si="5"/>
        <v/>
      </c>
    </row>
    <row r="40" spans="1:36" x14ac:dyDescent="0.25">
      <c r="A40" s="2">
        <v>9</v>
      </c>
      <c r="B40" s="2">
        <v>4</v>
      </c>
      <c r="C40" s="2">
        <v>7.4849208598145894E-2</v>
      </c>
      <c r="D40" s="2">
        <v>2.0159494798202601E-2</v>
      </c>
      <c r="E40" s="2">
        <v>4.9002145488402198E-2</v>
      </c>
      <c r="F40" s="2">
        <v>3.4793344937861799E-2</v>
      </c>
      <c r="G40" s="2">
        <v>0.106606485042302</v>
      </c>
      <c r="H40" s="2">
        <v>1.50386592721531E-2</v>
      </c>
      <c r="I40" s="2">
        <v>2.4389750232765201E-2</v>
      </c>
      <c r="J40" s="2">
        <v>2.9024814799821799E-2</v>
      </c>
      <c r="K40" s="2">
        <v>7.9484273165202596E-2</v>
      </c>
      <c r="L40" s="2">
        <v>1.9835647492207399E-3</v>
      </c>
      <c r="M40" s="2">
        <v>1.8560498724851202E-2</v>
      </c>
      <c r="N40" s="2">
        <v>5.9587904303120998E-2</v>
      </c>
      <c r="O40" s="2">
        <v>3.4894547220985297E-2</v>
      </c>
      <c r="P40" s="2">
        <v>5.22608590049791E-2</v>
      </c>
      <c r="Q40" s="2">
        <v>7.8006719831599403E-2</v>
      </c>
      <c r="R40" s="2">
        <v>3.88009553495526E-2</v>
      </c>
      <c r="S40" s="2">
        <v>1.8418815528478301E-3</v>
      </c>
      <c r="T40" s="2">
        <v>8.2783467595028901E-2</v>
      </c>
      <c r="U40" s="2">
        <v>4.7646034894547197E-2</v>
      </c>
      <c r="V40" s="2">
        <v>7.7844796178601794E-2</v>
      </c>
      <c r="W40" s="2">
        <v>3.5886329595595602E-2</v>
      </c>
      <c r="X40" s="2">
        <v>1.26300449338137E-2</v>
      </c>
      <c r="Y40" s="2">
        <v>8.76411771849573E-3</v>
      </c>
      <c r="Z40" s="2">
        <v>1.8216410962231301E-3</v>
      </c>
      <c r="AA40" s="2">
        <v>9.5939764401084798E-3</v>
      </c>
      <c r="AB40" s="2">
        <v>3.74448447556976E-3</v>
      </c>
      <c r="AC40" s="19">
        <f t="shared" si="0"/>
        <v>0.106606485042302</v>
      </c>
      <c r="AD40" s="20" t="str">
        <f t="shared" si="1"/>
        <v>e</v>
      </c>
      <c r="AE40" s="21" t="str">
        <f t="shared" si="6"/>
        <v>sere</v>
      </c>
      <c r="AF40" s="22" t="str">
        <f t="shared" si="2"/>
        <v/>
      </c>
      <c r="AG40" s="19" cm="1">
        <f t="array" ref="AG40">MAX(IF($C40:$AB40&lt;AC40,$C40:$AB40))</f>
        <v>8.2783467595028901E-2</v>
      </c>
      <c r="AH40" s="20" t="str">
        <f t="shared" si="3"/>
        <v>r</v>
      </c>
      <c r="AI40" s="21" t="str">
        <f t="shared" si="4"/>
        <v>paar</v>
      </c>
      <c r="AJ40" s="22" t="str">
        <f t="shared" si="5"/>
        <v/>
      </c>
    </row>
    <row r="41" spans="1:36" x14ac:dyDescent="0.25">
      <c r="A41" s="2">
        <v>9</v>
      </c>
      <c r="B41" s="2">
        <v>5</v>
      </c>
      <c r="C41" s="2">
        <v>9.5737359834837804E-2</v>
      </c>
      <c r="D41" s="2">
        <v>2.2507387766668E-2</v>
      </c>
      <c r="E41" s="2">
        <v>4.1027405578269803E-2</v>
      </c>
      <c r="F41" s="2">
        <v>2.68590859409788E-2</v>
      </c>
      <c r="G41" s="2">
        <v>0.10956159170950799</v>
      </c>
      <c r="H41" s="2">
        <v>1.2812209043435999E-2</v>
      </c>
      <c r="I41" s="2">
        <v>2.2082338177549201E-2</v>
      </c>
      <c r="J41" s="2">
        <v>3.5542241832975698E-2</v>
      </c>
      <c r="K41" s="2">
        <v>9.9016313808039505E-2</v>
      </c>
      <c r="L41" s="2">
        <v>9.1082054811156504E-4</v>
      </c>
      <c r="M41" s="2">
        <v>1.2366918997692501E-2</v>
      </c>
      <c r="N41" s="2">
        <v>5.6754240375662797E-2</v>
      </c>
      <c r="O41" s="2">
        <v>2.9389143019066501E-2</v>
      </c>
      <c r="P41" s="2">
        <v>5.1957252155608598E-2</v>
      </c>
      <c r="Q41" s="2">
        <v>8.6325547504351702E-2</v>
      </c>
      <c r="R41" s="2">
        <v>3.1332226855037802E-2</v>
      </c>
      <c r="S41" s="2">
        <v>1.6192365299761099E-3</v>
      </c>
      <c r="T41" s="2">
        <v>7.7925758005100598E-2</v>
      </c>
      <c r="U41" s="2">
        <v>5.1390519370116898E-2</v>
      </c>
      <c r="V41" s="2">
        <v>6.3028781929320293E-2</v>
      </c>
      <c r="W41" s="2">
        <v>3.5501760919726302E-2</v>
      </c>
      <c r="X41" s="2">
        <v>6.5983888596526704E-3</v>
      </c>
      <c r="Y41" s="2">
        <v>1.16382625592033E-2</v>
      </c>
      <c r="Z41" s="2">
        <v>2.2669311419665598E-3</v>
      </c>
      <c r="AA41" s="2">
        <v>1.28931708699348E-2</v>
      </c>
      <c r="AB41" s="2">
        <v>2.9551066672064098E-3</v>
      </c>
      <c r="AC41" s="19">
        <f t="shared" si="0"/>
        <v>0.10956159170950799</v>
      </c>
      <c r="AD41" s="20" t="str">
        <f t="shared" si="1"/>
        <v>e</v>
      </c>
      <c r="AE41" s="21" t="str">
        <f t="shared" si="6"/>
        <v>seree</v>
      </c>
      <c r="AF41" s="22" t="str">
        <f t="shared" si="2"/>
        <v/>
      </c>
      <c r="AG41" s="19" cm="1">
        <f t="array" ref="AG41">MAX(IF($C41:$AB41&lt;AC41,$C41:$AB41))</f>
        <v>9.9016313808039505E-2</v>
      </c>
      <c r="AH41" s="20" t="str">
        <f t="shared" si="3"/>
        <v>i</v>
      </c>
      <c r="AI41" s="21" t="str">
        <f t="shared" si="4"/>
        <v>paari</v>
      </c>
      <c r="AJ41" s="22" t="str">
        <f t="shared" si="5"/>
        <v/>
      </c>
    </row>
    <row r="42" spans="1:36" x14ac:dyDescent="0.25">
      <c r="A42" s="2">
        <v>9</v>
      </c>
      <c r="B42" s="2">
        <v>6</v>
      </c>
      <c r="C42" s="2">
        <v>9.2762012711006703E-2</v>
      </c>
      <c r="D42" s="2">
        <v>1.81354491357325E-2</v>
      </c>
      <c r="E42" s="2">
        <v>4.0298749139780501E-2</v>
      </c>
      <c r="F42" s="2">
        <v>2.6312593612111801E-2</v>
      </c>
      <c r="G42" s="2">
        <v>6.9525968505849495E-2</v>
      </c>
      <c r="H42" s="2">
        <v>1.7750880459863099E-2</v>
      </c>
      <c r="I42" s="2">
        <v>2.04631016475731E-2</v>
      </c>
      <c r="J42" s="2">
        <v>3.00773185443063E-2</v>
      </c>
      <c r="K42" s="2">
        <v>9.8550783305671297E-2</v>
      </c>
      <c r="L42" s="2">
        <v>9.7154191798566895E-4</v>
      </c>
      <c r="M42" s="2">
        <v>7.3877666680160301E-3</v>
      </c>
      <c r="N42" s="2">
        <v>8.9644982390802694E-2</v>
      </c>
      <c r="O42" s="2">
        <v>2.5563696716997899E-2</v>
      </c>
      <c r="P42" s="2">
        <v>7.7763834352102906E-2</v>
      </c>
      <c r="Q42" s="2">
        <v>6.3838400194308295E-2</v>
      </c>
      <c r="R42" s="2">
        <v>2.10298344330648E-2</v>
      </c>
      <c r="S42" s="2">
        <v>7.4889689511395299E-4</v>
      </c>
      <c r="T42" s="2">
        <v>8.68113184633445E-2</v>
      </c>
      <c r="U42" s="2">
        <v>4.9143828684775098E-2</v>
      </c>
      <c r="V42" s="2">
        <v>8.7297089422337298E-2</v>
      </c>
      <c r="W42" s="2">
        <v>2.7203173703598701E-2</v>
      </c>
      <c r="X42" s="2">
        <v>8.6021940654981092E-3</v>
      </c>
      <c r="Y42" s="2">
        <v>1.9248674250091E-2</v>
      </c>
      <c r="Z42" s="2">
        <v>2.69198073108529E-3</v>
      </c>
      <c r="AA42" s="2">
        <v>1.33182204590535E-2</v>
      </c>
      <c r="AB42" s="2">
        <v>4.8577095899283397E-3</v>
      </c>
      <c r="AC42" s="19">
        <f t="shared" si="0"/>
        <v>9.8550783305671297E-2</v>
      </c>
      <c r="AD42" s="20" t="str">
        <f t="shared" si="1"/>
        <v>i</v>
      </c>
      <c r="AE42" s="21" t="str">
        <f t="shared" si="6"/>
        <v>sereei</v>
      </c>
      <c r="AF42" s="22" t="str">
        <f t="shared" si="2"/>
        <v/>
      </c>
      <c r="AG42" s="19" cm="1">
        <f t="array" ref="AG42">MAX(IF($C42:$AB42&lt;AC42,$C42:$AB42))</f>
        <v>9.2762012711006703E-2</v>
      </c>
      <c r="AH42" s="20" t="str">
        <f t="shared" si="3"/>
        <v>a</v>
      </c>
      <c r="AI42" s="21" t="str">
        <f t="shared" si="4"/>
        <v>paaria</v>
      </c>
      <c r="AJ42" s="22" t="str">
        <f t="shared" si="5"/>
        <v/>
      </c>
    </row>
    <row r="43" spans="1:36" x14ac:dyDescent="0.25">
      <c r="A43" s="2">
        <v>9</v>
      </c>
      <c r="B43" s="2">
        <v>7</v>
      </c>
      <c r="C43" s="2">
        <v>8.6224345221228196E-2</v>
      </c>
      <c r="D43" s="2">
        <v>2.1211998542687099E-2</v>
      </c>
      <c r="E43" s="2">
        <v>1.95522810994616E-2</v>
      </c>
      <c r="F43" s="2">
        <v>2.44909525158887E-2</v>
      </c>
      <c r="G43" s="2">
        <v>0.11375136623082201</v>
      </c>
      <c r="H43" s="2">
        <v>7.2663239282678201E-3</v>
      </c>
      <c r="I43" s="2">
        <v>2.2203780917297401E-2</v>
      </c>
      <c r="J43" s="2">
        <v>1.8054487309233602E-2</v>
      </c>
      <c r="K43" s="2">
        <v>0.22993158725660801</v>
      </c>
      <c r="L43" s="2">
        <v>2.6312593612111803E-4</v>
      </c>
      <c r="M43" s="2">
        <v>9.7963810063554993E-3</v>
      </c>
      <c r="N43" s="2">
        <v>4.5601748775452297E-2</v>
      </c>
      <c r="O43" s="2">
        <v>2.2345464113670398E-2</v>
      </c>
      <c r="P43" s="2">
        <v>5.3799133708456397E-2</v>
      </c>
      <c r="Q43" s="2">
        <v>9.9886653442901596E-2</v>
      </c>
      <c r="R43" s="2">
        <v>1.0079747399101301E-2</v>
      </c>
      <c r="S43" s="2">
        <v>7.2865643848925201E-4</v>
      </c>
      <c r="T43" s="2">
        <v>4.6026798364571103E-2</v>
      </c>
      <c r="U43" s="2">
        <v>3.85378294134315E-2</v>
      </c>
      <c r="V43" s="2">
        <v>7.4970651337894101E-2</v>
      </c>
      <c r="W43" s="2">
        <v>2.6413795895235299E-2</v>
      </c>
      <c r="X43" s="2">
        <v>5.6673278549163996E-3</v>
      </c>
      <c r="Y43" s="2">
        <v>3.38015625632514E-3</v>
      </c>
      <c r="Z43" s="2">
        <v>4.2100149779378997E-3</v>
      </c>
      <c r="AA43" s="2">
        <v>7.5699307776383399E-3</v>
      </c>
      <c r="AB43" s="2">
        <v>8.0354612800064701E-3</v>
      </c>
      <c r="AC43" s="19">
        <f t="shared" si="0"/>
        <v>0.22993158725660801</v>
      </c>
      <c r="AD43" s="20" t="str">
        <f t="shared" si="1"/>
        <v>i</v>
      </c>
      <c r="AE43" s="21" t="str">
        <f t="shared" si="6"/>
        <v>sereeii</v>
      </c>
      <c r="AF43" s="22" t="str">
        <f t="shared" si="2"/>
        <v/>
      </c>
      <c r="AG43" s="19" cm="1">
        <f t="array" ref="AG43">MAX(IF($C43:$AB43&lt;AC43,$C43:$AB43))</f>
        <v>0.11375136623082201</v>
      </c>
      <c r="AH43" s="20" t="str">
        <f t="shared" si="3"/>
        <v>e</v>
      </c>
      <c r="AI43" s="21" t="str">
        <f t="shared" si="4"/>
        <v>paariae</v>
      </c>
      <c r="AJ43" s="22" t="str">
        <f t="shared" si="5"/>
        <v/>
      </c>
    </row>
    <row r="44" spans="1:36" x14ac:dyDescent="0.25">
      <c r="A44" s="2">
        <v>9</v>
      </c>
      <c r="B44" s="2">
        <v>8</v>
      </c>
      <c r="C44" s="2">
        <v>6.3838400194308295E-2</v>
      </c>
      <c r="D44" s="2">
        <v>1.3561105938549899E-3</v>
      </c>
      <c r="E44" s="2">
        <v>2.5664899000121401E-2</v>
      </c>
      <c r="F44" s="2">
        <v>2.0604784843946001E-2</v>
      </c>
      <c r="G44" s="2">
        <v>0.20576448204671399</v>
      </c>
      <c r="H44" s="2">
        <v>5.0398736995506599E-3</v>
      </c>
      <c r="I44" s="2">
        <v>1.75687163502408E-2</v>
      </c>
      <c r="J44" s="2">
        <v>8.0152208233817707E-3</v>
      </c>
      <c r="K44" s="2">
        <v>7.9221147229081398E-2</v>
      </c>
      <c r="L44" s="2">
        <v>6.0721369874104303E-5</v>
      </c>
      <c r="M44" s="2">
        <v>1.54434684046472E-2</v>
      </c>
      <c r="N44" s="2">
        <v>7.3938388050034401E-2</v>
      </c>
      <c r="O44" s="2">
        <v>1.89248269440958E-2</v>
      </c>
      <c r="P44" s="2">
        <v>0.12259644577581599</v>
      </c>
      <c r="Q44" s="2">
        <v>4.5379103752580599E-2</v>
      </c>
      <c r="R44" s="2">
        <v>9.65469780998259E-3</v>
      </c>
      <c r="S44" s="2">
        <v>2.0240456624701402E-5</v>
      </c>
      <c r="T44" s="2">
        <v>7.06594340768327E-2</v>
      </c>
      <c r="U44" s="2">
        <v>8.1751204307169104E-2</v>
      </c>
      <c r="V44" s="2">
        <v>7.4100311703031996E-2</v>
      </c>
      <c r="W44" s="2">
        <v>3.5299356353479298E-2</v>
      </c>
      <c r="X44" s="2">
        <v>8.2985872161275894E-3</v>
      </c>
      <c r="Y44" s="2">
        <v>2.2871715985912601E-3</v>
      </c>
      <c r="Z44" s="2">
        <v>5.4649232886693898E-4</v>
      </c>
      <c r="AA44" s="2">
        <v>4.1492936080637904E-3</v>
      </c>
      <c r="AB44" s="2">
        <v>9.8166214629802004E-3</v>
      </c>
      <c r="AC44" s="19">
        <f t="shared" si="0"/>
        <v>0.20576448204671399</v>
      </c>
      <c r="AD44" s="20" t="str">
        <f t="shared" si="1"/>
        <v>e</v>
      </c>
      <c r="AE44" s="21" t="str">
        <f t="shared" si="6"/>
        <v>sereeiie</v>
      </c>
      <c r="AF44" s="22" t="str">
        <f t="shared" si="2"/>
        <v/>
      </c>
      <c r="AG44" s="19" cm="1">
        <f t="array" ref="AG44">MAX(IF($C44:$AB44&lt;AC44,$C44:$AB44))</f>
        <v>0.12259644577581599</v>
      </c>
      <c r="AH44" s="20" t="str">
        <f t="shared" si="3"/>
        <v>n</v>
      </c>
      <c r="AI44" s="21" t="str">
        <f t="shared" si="4"/>
        <v>paariaen</v>
      </c>
      <c r="AJ44" s="22" t="str">
        <f t="shared" si="5"/>
        <v/>
      </c>
    </row>
    <row r="45" spans="1:36" x14ac:dyDescent="0.25">
      <c r="A45" s="2">
        <v>9</v>
      </c>
      <c r="B45" s="2">
        <v>9</v>
      </c>
      <c r="C45" s="2">
        <v>2.4329028862891101E-2</v>
      </c>
      <c r="D45" s="2">
        <v>8.0961826498805799E-4</v>
      </c>
      <c r="E45" s="2">
        <v>3.0785734526170901E-2</v>
      </c>
      <c r="F45" s="2">
        <v>0.104784843946079</v>
      </c>
      <c r="G45" s="2">
        <v>0.16925069829575301</v>
      </c>
      <c r="H45" s="2">
        <v>3.5218394526980502E-3</v>
      </c>
      <c r="I45" s="2">
        <v>6.1794114075213499E-2</v>
      </c>
      <c r="J45" s="2">
        <v>1.72448690442456E-2</v>
      </c>
      <c r="K45" s="2">
        <v>4.1290531514390902E-3</v>
      </c>
      <c r="L45" s="2">
        <v>0</v>
      </c>
      <c r="M45" s="2">
        <v>1.1172732056835199E-2</v>
      </c>
      <c r="N45" s="2">
        <v>4.0076104116908803E-2</v>
      </c>
      <c r="O45" s="2">
        <v>2.77699064890903E-2</v>
      </c>
      <c r="P45" s="2">
        <v>5.0580901105128903E-2</v>
      </c>
      <c r="Q45" s="2">
        <v>5.5863660284175996E-3</v>
      </c>
      <c r="R45" s="2">
        <v>5.5863660284175996E-3</v>
      </c>
      <c r="S45" s="2">
        <v>0</v>
      </c>
      <c r="T45" s="2">
        <v>5.7705541837023797E-2</v>
      </c>
      <c r="U45" s="2">
        <v>0.24448447556976799</v>
      </c>
      <c r="V45" s="2">
        <v>6.18143545318382E-2</v>
      </c>
      <c r="W45" s="2">
        <v>6.2745415536574495E-4</v>
      </c>
      <c r="X45" s="2">
        <v>6.0721369874104303E-5</v>
      </c>
      <c r="Y45" s="2">
        <v>1.5382747034773101E-3</v>
      </c>
      <c r="Z45" s="2">
        <v>1.7609197263490201E-3</v>
      </c>
      <c r="AA45" s="2">
        <v>7.4343197182528395E-2</v>
      </c>
      <c r="AB45" s="2">
        <v>2.4288547949641699E-4</v>
      </c>
      <c r="AC45" s="19">
        <f t="shared" si="0"/>
        <v>0.24448447556976799</v>
      </c>
      <c r="AD45" s="20" t="str">
        <f t="shared" si="1"/>
        <v>s</v>
      </c>
      <c r="AE45" s="21" t="str">
        <f t="shared" si="6"/>
        <v>sereeiies</v>
      </c>
      <c r="AF45" s="22" t="str">
        <f t="shared" si="2"/>
        <v>sereeiies</v>
      </c>
      <c r="AG45" s="19" cm="1">
        <f t="array" ref="AG45">MAX(IF($C45:$AB45&lt;AC45,$C45:$AB45))</f>
        <v>0.16925069829575301</v>
      </c>
      <c r="AH45" s="20" t="str">
        <f t="shared" si="3"/>
        <v>e</v>
      </c>
      <c r="AI45" s="21" t="str">
        <f t="shared" si="4"/>
        <v>paariaene</v>
      </c>
      <c r="AJ45" s="22" t="str">
        <f t="shared" si="5"/>
        <v>paariaene</v>
      </c>
    </row>
    <row r="46" spans="1:36" x14ac:dyDescent="0.25">
      <c r="A46" s="2">
        <v>10</v>
      </c>
      <c r="B46" s="2">
        <v>1</v>
      </c>
      <c r="C46" s="2">
        <v>6.9265478904033104E-2</v>
      </c>
      <c r="D46" s="2">
        <v>4.4052658510489798E-2</v>
      </c>
      <c r="E46" s="2">
        <v>8.8175094199190507E-2</v>
      </c>
      <c r="F46" s="2">
        <v>5.4286644648090403E-2</v>
      </c>
      <c r="G46" s="2">
        <v>4.2215192817602401E-2</v>
      </c>
      <c r="H46" s="2">
        <v>3.2074242917616402E-2</v>
      </c>
      <c r="I46" s="2">
        <v>2.4468530492626799E-2</v>
      </c>
      <c r="J46" s="2">
        <v>3.5632879006372901E-2</v>
      </c>
      <c r="K46" s="2">
        <v>4.0005582174256801E-2</v>
      </c>
      <c r="L46" s="2">
        <v>4.9076615341675503E-3</v>
      </c>
      <c r="M46" s="2">
        <v>5.6286923756803204E-3</v>
      </c>
      <c r="N46" s="2">
        <v>2.2235660789877602E-2</v>
      </c>
      <c r="O46" s="2">
        <v>5.6217146578592302E-2</v>
      </c>
      <c r="P46" s="2">
        <v>2.82132390566125E-2</v>
      </c>
      <c r="Q46" s="2">
        <v>3.8726333907056799E-2</v>
      </c>
      <c r="R46" s="2">
        <v>0.10064195003954</v>
      </c>
      <c r="S46" s="2">
        <v>3.8842629204074901E-3</v>
      </c>
      <c r="T46" s="2">
        <v>4.7215890589384503E-2</v>
      </c>
      <c r="U46" s="2">
        <v>0.104130808950086</v>
      </c>
      <c r="V46" s="2">
        <v>4.7262408708191803E-2</v>
      </c>
      <c r="W46" s="2">
        <v>7.5778015537051602E-2</v>
      </c>
      <c r="X46" s="2">
        <v>1.45601711866772E-2</v>
      </c>
      <c r="Y46" s="2">
        <v>1.5304461087593599E-2</v>
      </c>
      <c r="Z46" s="2">
        <v>1.39554356421826E-3</v>
      </c>
      <c r="AA46" s="2">
        <v>1.2327301483927901E-3</v>
      </c>
      <c r="AB46" s="2">
        <v>2.4887193561892299E-3</v>
      </c>
      <c r="AC46" s="19">
        <f t="shared" si="0"/>
        <v>0.104130808950086</v>
      </c>
      <c r="AD46" s="20" t="str">
        <f t="shared" si="1"/>
        <v>s</v>
      </c>
      <c r="AE46" s="21" t="str">
        <f t="shared" si="6"/>
        <v>s</v>
      </c>
      <c r="AF46" s="22" t="str">
        <f t="shared" si="2"/>
        <v/>
      </c>
      <c r="AG46" s="19" cm="1">
        <f t="array" ref="AG46">MAX(IF($C46:$AB46&lt;AC46,$C46:$AB46))</f>
        <v>0.10064195003954</v>
      </c>
      <c r="AH46" s="20" t="str">
        <f t="shared" si="3"/>
        <v>p</v>
      </c>
      <c r="AI46" s="21" t="str">
        <f t="shared" si="4"/>
        <v>p</v>
      </c>
      <c r="AJ46" s="22" t="str">
        <f t="shared" si="5"/>
        <v/>
      </c>
    </row>
    <row r="47" spans="1:36" x14ac:dyDescent="0.25">
      <c r="A47" s="2">
        <v>10</v>
      </c>
      <c r="B47" s="2">
        <v>2</v>
      </c>
      <c r="C47" s="2">
        <v>0.111713262315671</v>
      </c>
      <c r="D47" s="2">
        <v>6.4195003954040097E-3</v>
      </c>
      <c r="E47" s="2">
        <v>1.8607247522910101E-2</v>
      </c>
      <c r="F47" s="2">
        <v>6.8381634646694804E-3</v>
      </c>
      <c r="G47" s="2">
        <v>0.14960227008419699</v>
      </c>
      <c r="H47" s="2">
        <v>3.8144857421965801E-3</v>
      </c>
      <c r="I47" s="2">
        <v>2.5119784155928698E-3</v>
      </c>
      <c r="J47" s="2">
        <v>3.7144717867609402E-2</v>
      </c>
      <c r="K47" s="2">
        <v>8.75238405358887E-2</v>
      </c>
      <c r="L47" s="2">
        <v>1.16295297018188E-4</v>
      </c>
      <c r="M47" s="2">
        <v>1.88398381169465E-3</v>
      </c>
      <c r="N47" s="2">
        <v>3.7726194352700297E-2</v>
      </c>
      <c r="O47" s="2">
        <v>1.6490673117179101E-2</v>
      </c>
      <c r="P47" s="2">
        <v>0.12331953295808699</v>
      </c>
      <c r="Q47" s="2">
        <v>0.123412569195701</v>
      </c>
      <c r="R47" s="2">
        <v>2.2189142671070299E-2</v>
      </c>
      <c r="S47" s="2">
        <v>3.23300925710564E-3</v>
      </c>
      <c r="T47" s="2">
        <v>8.8384425733823296E-2</v>
      </c>
      <c r="U47" s="2">
        <v>1.2792482672000701E-2</v>
      </c>
      <c r="V47" s="2">
        <v>1.99330139089175E-2</v>
      </c>
      <c r="W47" s="2">
        <v>7.2149602270084198E-2</v>
      </c>
      <c r="X47" s="2">
        <v>1.46764664836953E-2</v>
      </c>
      <c r="Y47" s="2">
        <v>2.7445690096292502E-3</v>
      </c>
      <c r="Z47" s="2">
        <v>1.0117690840582399E-2</v>
      </c>
      <c r="AA47" s="2">
        <v>2.60501465320742E-2</v>
      </c>
      <c r="AB47" s="2">
        <v>6.0473554449457997E-4</v>
      </c>
      <c r="AC47" s="19">
        <f t="shared" si="0"/>
        <v>0.14960227008419699</v>
      </c>
      <c r="AD47" s="20" t="str">
        <f t="shared" si="1"/>
        <v>e</v>
      </c>
      <c r="AE47" s="21" t="str">
        <f t="shared" si="6"/>
        <v>se</v>
      </c>
      <c r="AF47" s="22" t="str">
        <f t="shared" si="2"/>
        <v/>
      </c>
      <c r="AG47" s="19" cm="1">
        <f t="array" ref="AG47">MAX(IF($C47:$AB47&lt;AC47,$C47:$AB47))</f>
        <v>0.123412569195701</v>
      </c>
      <c r="AH47" s="20" t="str">
        <f t="shared" si="3"/>
        <v>o</v>
      </c>
      <c r="AI47" s="21" t="str">
        <f t="shared" si="4"/>
        <v>po</v>
      </c>
      <c r="AJ47" s="22" t="str">
        <f t="shared" si="5"/>
        <v/>
      </c>
    </row>
    <row r="48" spans="1:36" x14ac:dyDescent="0.25">
      <c r="A48" s="2">
        <v>10</v>
      </c>
      <c r="B48" s="2">
        <v>3</v>
      </c>
      <c r="C48" s="2">
        <v>7.2847374052193298E-2</v>
      </c>
      <c r="D48" s="2">
        <v>3.05856631157835E-2</v>
      </c>
      <c r="E48" s="2">
        <v>5.4891380192585E-2</v>
      </c>
      <c r="F48" s="2">
        <v>3.4725775689631103E-2</v>
      </c>
      <c r="G48" s="2">
        <v>7.9266874447597294E-2</v>
      </c>
      <c r="H48" s="2">
        <v>1.7118667721077299E-2</v>
      </c>
      <c r="I48" s="2">
        <v>2.25380285621249E-2</v>
      </c>
      <c r="J48" s="2">
        <v>1.08619807414988E-2</v>
      </c>
      <c r="K48" s="2">
        <v>5.4519235242126797E-2</v>
      </c>
      <c r="L48" s="2">
        <v>2.7678280690328801E-3</v>
      </c>
      <c r="M48" s="2">
        <v>2.69805089082197E-3</v>
      </c>
      <c r="N48" s="2">
        <v>6.13806577661999E-2</v>
      </c>
      <c r="O48" s="2">
        <v>4.4913243708424401E-2</v>
      </c>
      <c r="P48" s="2">
        <v>8.3127878308601202E-2</v>
      </c>
      <c r="Q48" s="2">
        <v>6.3520491231334603E-2</v>
      </c>
      <c r="R48" s="2">
        <v>4.7215890589384503E-2</v>
      </c>
      <c r="S48" s="2">
        <v>2.2096106433455798E-3</v>
      </c>
      <c r="T48" s="2">
        <v>9.4455040238172694E-2</v>
      </c>
      <c r="U48" s="2">
        <v>7.2451970042331407E-2</v>
      </c>
      <c r="V48" s="2">
        <v>8.1755593803786497E-2</v>
      </c>
      <c r="W48" s="2">
        <v>3.1678838907754497E-2</v>
      </c>
      <c r="X48" s="2">
        <v>1.3466995394706201E-2</v>
      </c>
      <c r="Y48" s="2">
        <v>5.76824673210215E-3</v>
      </c>
      <c r="Z48" s="2">
        <v>4.5355165837093498E-3</v>
      </c>
      <c r="AA48" s="2">
        <v>9.2338465832441704E-3</v>
      </c>
      <c r="AB48" s="2">
        <v>1.46532074242917E-3</v>
      </c>
      <c r="AC48" s="19">
        <f t="shared" si="0"/>
        <v>9.4455040238172694E-2</v>
      </c>
      <c r="AD48" s="20" t="str">
        <f t="shared" si="1"/>
        <v>r</v>
      </c>
      <c r="AE48" s="21" t="str">
        <f t="shared" si="6"/>
        <v>ser</v>
      </c>
      <c r="AF48" s="22" t="str">
        <f t="shared" si="2"/>
        <v/>
      </c>
      <c r="AG48" s="19" cm="1">
        <f t="array" ref="AG48">MAX(IF($C48:$AB48&lt;AC48,$C48:$AB48))</f>
        <v>8.3127878308601202E-2</v>
      </c>
      <c r="AH48" s="20" t="str">
        <f t="shared" si="3"/>
        <v>n</v>
      </c>
      <c r="AI48" s="21" t="str">
        <f t="shared" si="4"/>
        <v>pon</v>
      </c>
      <c r="AJ48" s="22" t="str">
        <f t="shared" si="5"/>
        <v/>
      </c>
    </row>
    <row r="49" spans="1:36" x14ac:dyDescent="0.25">
      <c r="A49" s="2">
        <v>10</v>
      </c>
      <c r="B49" s="2">
        <v>4</v>
      </c>
      <c r="C49" s="2">
        <v>7.7080522863655396E-2</v>
      </c>
      <c r="D49" s="2">
        <v>2.0933153463273901E-2</v>
      </c>
      <c r="E49" s="2">
        <v>5.0588454202911998E-2</v>
      </c>
      <c r="F49" s="2">
        <v>3.3655858957063703E-2</v>
      </c>
      <c r="G49" s="2">
        <v>0.108456993999162</v>
      </c>
      <c r="H49" s="2">
        <v>1.41647671768153E-2</v>
      </c>
      <c r="I49" s="2">
        <v>2.3654463413499499E-2</v>
      </c>
      <c r="J49" s="2">
        <v>2.92831557891798E-2</v>
      </c>
      <c r="K49" s="2">
        <v>9.3106014792761704E-2</v>
      </c>
      <c r="L49" s="2">
        <v>1.95376098990556E-3</v>
      </c>
      <c r="M49" s="2">
        <v>1.2885518909615199E-2</v>
      </c>
      <c r="N49" s="2">
        <v>4.85183979159882E-2</v>
      </c>
      <c r="O49" s="2">
        <v>3.0167000046518101E-2</v>
      </c>
      <c r="P49" s="2">
        <v>4.85183979159882E-2</v>
      </c>
      <c r="Q49" s="2">
        <v>8.7267990882448701E-2</v>
      </c>
      <c r="R49" s="2">
        <v>3.93310694515513E-2</v>
      </c>
      <c r="S49" s="2">
        <v>3.1167139600874502E-3</v>
      </c>
      <c r="T49" s="2">
        <v>8.5035121179699497E-2</v>
      </c>
      <c r="U49" s="2">
        <v>4.4355026282737103E-2</v>
      </c>
      <c r="V49" s="2">
        <v>7.6499046378564403E-2</v>
      </c>
      <c r="W49" s="2">
        <v>3.6237614550867499E-2</v>
      </c>
      <c r="X49" s="2">
        <v>1.2839000790808E-2</v>
      </c>
      <c r="Y49" s="2">
        <v>6.4427594548076396E-3</v>
      </c>
      <c r="Z49" s="2">
        <v>3.0469367818765402E-3</v>
      </c>
      <c r="AA49" s="2">
        <v>1.0257245197004199E-2</v>
      </c>
      <c r="AB49" s="2">
        <v>2.6050146532074201E-3</v>
      </c>
      <c r="AC49" s="19">
        <f t="shared" si="0"/>
        <v>0.108456993999162</v>
      </c>
      <c r="AD49" s="20" t="str">
        <f t="shared" si="1"/>
        <v>e</v>
      </c>
      <c r="AE49" s="21" t="str">
        <f t="shared" si="6"/>
        <v>sere</v>
      </c>
      <c r="AF49" s="22" t="str">
        <f t="shared" si="2"/>
        <v/>
      </c>
      <c r="AG49" s="19" cm="1">
        <f t="array" ref="AG49">MAX(IF($C49:$AB49&lt;AC49,$C49:$AB49))</f>
        <v>9.3106014792761704E-2</v>
      </c>
      <c r="AH49" s="20" t="str">
        <f t="shared" si="3"/>
        <v>i</v>
      </c>
      <c r="AI49" s="21" t="str">
        <f t="shared" si="4"/>
        <v>poni</v>
      </c>
      <c r="AJ49" s="22" t="str">
        <f t="shared" si="5"/>
        <v/>
      </c>
    </row>
    <row r="50" spans="1:36" x14ac:dyDescent="0.25">
      <c r="A50" s="2">
        <v>10</v>
      </c>
      <c r="B50" s="2">
        <v>5</v>
      </c>
      <c r="C50" s="2">
        <v>7.4126622319393404E-2</v>
      </c>
      <c r="D50" s="2">
        <v>1.8397915988277402E-2</v>
      </c>
      <c r="E50" s="2">
        <v>4.2680374005675203E-2</v>
      </c>
      <c r="F50" s="2">
        <v>2.63757733637251E-2</v>
      </c>
      <c r="G50" s="2">
        <v>0.106852118900311</v>
      </c>
      <c r="H50" s="2">
        <v>1.5118388612364499E-2</v>
      </c>
      <c r="I50" s="2">
        <v>2.52825975717542E-2</v>
      </c>
      <c r="J50" s="2">
        <v>3.4679257570823803E-2</v>
      </c>
      <c r="K50" s="2">
        <v>7.9197097269386396E-2</v>
      </c>
      <c r="L50" s="2">
        <v>1.4188026236219E-3</v>
      </c>
      <c r="M50" s="2">
        <v>9.7688049495278408E-3</v>
      </c>
      <c r="N50" s="2">
        <v>6.6986091082476606E-2</v>
      </c>
      <c r="O50" s="2">
        <v>3.4935107224263802E-2</v>
      </c>
      <c r="P50" s="2">
        <v>5.7519653905195998E-2</v>
      </c>
      <c r="Q50" s="2">
        <v>9.9409219891147593E-2</v>
      </c>
      <c r="R50" s="2">
        <v>3.3097641531376398E-2</v>
      </c>
      <c r="S50" s="2">
        <v>1.16295297018188E-3</v>
      </c>
      <c r="T50" s="2">
        <v>9.0687072614783398E-2</v>
      </c>
      <c r="U50" s="2">
        <v>4.80299576685118E-2</v>
      </c>
      <c r="V50" s="2">
        <v>6.6544168953807506E-2</v>
      </c>
      <c r="W50" s="2">
        <v>3.5911987719216602E-2</v>
      </c>
      <c r="X50" s="2">
        <v>9.7222868307205602E-3</v>
      </c>
      <c r="Y50" s="2">
        <v>7.0940131181095002E-3</v>
      </c>
      <c r="Z50" s="2">
        <v>2.3491649997673999E-3</v>
      </c>
      <c r="AA50" s="2">
        <v>9.8385821277387504E-3</v>
      </c>
      <c r="AB50" s="2">
        <v>2.8143461878401602E-3</v>
      </c>
      <c r="AC50" s="19">
        <f t="shared" si="0"/>
        <v>0.106852118900311</v>
      </c>
      <c r="AD50" s="20" t="str">
        <f t="shared" si="1"/>
        <v>e</v>
      </c>
      <c r="AE50" s="21" t="str">
        <f t="shared" si="6"/>
        <v>seree</v>
      </c>
      <c r="AF50" s="22" t="str">
        <f t="shared" si="2"/>
        <v/>
      </c>
      <c r="AG50" s="19" cm="1">
        <f t="array" ref="AG50">MAX(IF($C50:$AB50&lt;AC50,$C50:$AB50))</f>
        <v>9.9409219891147593E-2</v>
      </c>
      <c r="AH50" s="20" t="str">
        <f t="shared" si="3"/>
        <v>o</v>
      </c>
      <c r="AI50" s="21" t="str">
        <f t="shared" si="4"/>
        <v>ponio</v>
      </c>
      <c r="AJ50" s="22" t="str">
        <f t="shared" si="5"/>
        <v/>
      </c>
    </row>
    <row r="51" spans="1:36" x14ac:dyDescent="0.25">
      <c r="A51" s="2">
        <v>10</v>
      </c>
      <c r="B51" s="2">
        <v>6</v>
      </c>
      <c r="C51" s="2">
        <v>0.103084151276922</v>
      </c>
      <c r="D51" s="2">
        <v>1.7514071730939201E-2</v>
      </c>
      <c r="E51" s="2">
        <v>4.8820765688235498E-2</v>
      </c>
      <c r="F51" s="2">
        <v>2.5701260641019599E-2</v>
      </c>
      <c r="G51" s="2">
        <v>0.102479415732427</v>
      </c>
      <c r="H51" s="2">
        <v>1.2955296087826199E-2</v>
      </c>
      <c r="I51" s="2">
        <v>2.5050006977717799E-2</v>
      </c>
      <c r="J51" s="2">
        <v>3.1748616085965402E-2</v>
      </c>
      <c r="K51" s="2">
        <v>0.112643624691817</v>
      </c>
      <c r="L51" s="2">
        <v>5.8147648509094196E-4</v>
      </c>
      <c r="M51" s="2">
        <v>3.5818951481602001E-3</v>
      </c>
      <c r="N51" s="2">
        <v>5.6984695538912403E-2</v>
      </c>
      <c r="O51" s="2">
        <v>3.1678838907754497E-2</v>
      </c>
      <c r="P51" s="2">
        <v>5.8426757221937901E-2</v>
      </c>
      <c r="Q51" s="2">
        <v>8.4802530585663102E-2</v>
      </c>
      <c r="R51" s="2">
        <v>3.1376471135507199E-2</v>
      </c>
      <c r="S51" s="2">
        <v>1.4188026236219E-3</v>
      </c>
      <c r="T51" s="2">
        <v>7.7499185932920794E-2</v>
      </c>
      <c r="U51" s="2">
        <v>4.3959622272875198E-2</v>
      </c>
      <c r="V51" s="2">
        <v>6.8428152765502098E-2</v>
      </c>
      <c r="W51" s="2">
        <v>2.7841094106154301E-2</v>
      </c>
      <c r="X51" s="2">
        <v>7.7685258408149898E-3</v>
      </c>
      <c r="Y51" s="2">
        <v>9.2338465832441704E-3</v>
      </c>
      <c r="Z51" s="2">
        <v>1.95376098990556E-3</v>
      </c>
      <c r="AA51" s="2">
        <v>1.2443596780946101E-2</v>
      </c>
      <c r="AB51" s="2">
        <v>2.02353816811648E-3</v>
      </c>
      <c r="AC51" s="19">
        <f t="shared" si="0"/>
        <v>0.112643624691817</v>
      </c>
      <c r="AD51" s="20" t="str">
        <f t="shared" si="1"/>
        <v>i</v>
      </c>
      <c r="AE51" s="21" t="str">
        <f t="shared" si="6"/>
        <v>sereei</v>
      </c>
      <c r="AF51" s="22" t="str">
        <f t="shared" si="2"/>
        <v/>
      </c>
      <c r="AG51" s="19" cm="1">
        <f t="array" ref="AG51">MAX(IF($C51:$AB51&lt;AC51,$C51:$AB51))</f>
        <v>0.103084151276922</v>
      </c>
      <c r="AH51" s="20" t="str">
        <f t="shared" si="3"/>
        <v>a</v>
      </c>
      <c r="AI51" s="21" t="str">
        <f t="shared" si="4"/>
        <v>ponioa</v>
      </c>
      <c r="AJ51" s="22" t="str">
        <f t="shared" si="5"/>
        <v/>
      </c>
    </row>
    <row r="52" spans="1:36" x14ac:dyDescent="0.25">
      <c r="A52" s="2">
        <v>10</v>
      </c>
      <c r="B52" s="2">
        <v>7</v>
      </c>
      <c r="C52" s="2">
        <v>0.10522398474205701</v>
      </c>
      <c r="D52" s="2">
        <v>9.2803647020514492E-3</v>
      </c>
      <c r="E52" s="2">
        <v>3.5121179699492897E-2</v>
      </c>
      <c r="F52" s="2">
        <v>2.51197841559287E-2</v>
      </c>
      <c r="G52" s="2">
        <v>7.4335953854026096E-2</v>
      </c>
      <c r="H52" s="2">
        <v>1.25598920779643E-2</v>
      </c>
      <c r="I52" s="2">
        <v>1.8072289156626498E-2</v>
      </c>
      <c r="J52" s="2">
        <v>2.6352514304321499E-2</v>
      </c>
      <c r="K52" s="2">
        <v>9.3873563753081798E-2</v>
      </c>
      <c r="L52" s="2">
        <v>3.9540400986184102E-4</v>
      </c>
      <c r="M52" s="2">
        <v>7.8848211378331808E-3</v>
      </c>
      <c r="N52" s="2">
        <v>8.2639438061124795E-2</v>
      </c>
      <c r="O52" s="2">
        <v>2.7003767967623299E-2</v>
      </c>
      <c r="P52" s="2">
        <v>8.5337488951946705E-2</v>
      </c>
      <c r="Q52" s="2">
        <v>6.1008512815741697E-2</v>
      </c>
      <c r="R52" s="2">
        <v>1.7909475740801001E-2</v>
      </c>
      <c r="S52" s="2">
        <v>5.3495836628366701E-4</v>
      </c>
      <c r="T52" s="2">
        <v>8.4128017862957594E-2</v>
      </c>
      <c r="U52" s="2">
        <v>5.6589291529050498E-2</v>
      </c>
      <c r="V52" s="2">
        <v>0.103363259989766</v>
      </c>
      <c r="W52" s="2">
        <v>3.1934688561194503E-2</v>
      </c>
      <c r="X52" s="2">
        <v>6.8381634646694804E-3</v>
      </c>
      <c r="Y52" s="2">
        <v>1.2094710889891599E-2</v>
      </c>
      <c r="Z52" s="2">
        <v>1.7909475740801001E-3</v>
      </c>
      <c r="AA52" s="2">
        <v>1.45136530678699E-2</v>
      </c>
      <c r="AB52" s="2">
        <v>6.0938735637530803E-3</v>
      </c>
      <c r="AC52" s="19">
        <f t="shared" si="0"/>
        <v>0.10522398474205701</v>
      </c>
      <c r="AD52" s="20" t="str">
        <f t="shared" si="1"/>
        <v>a</v>
      </c>
      <c r="AE52" s="21" t="str">
        <f t="shared" si="6"/>
        <v>sereeia</v>
      </c>
      <c r="AF52" s="22" t="str">
        <f t="shared" si="2"/>
        <v/>
      </c>
      <c r="AG52" s="19" cm="1">
        <f t="array" ref="AG52">MAX(IF($C52:$AB52&lt;AC52,$C52:$AB52))</f>
        <v>0.103363259989766</v>
      </c>
      <c r="AH52" s="20" t="str">
        <f t="shared" si="3"/>
        <v>t</v>
      </c>
      <c r="AI52" s="21" t="str">
        <f t="shared" si="4"/>
        <v>ponioat</v>
      </c>
      <c r="AJ52" s="22" t="str">
        <f t="shared" si="5"/>
        <v/>
      </c>
    </row>
    <row r="53" spans="1:36" x14ac:dyDescent="0.25">
      <c r="A53" s="2">
        <v>10</v>
      </c>
      <c r="B53" s="2">
        <v>8</v>
      </c>
      <c r="C53" s="2">
        <v>6.8172303112062099E-2</v>
      </c>
      <c r="D53" s="2">
        <v>3.4562962273805599E-2</v>
      </c>
      <c r="E53" s="2">
        <v>2.07005628692375E-2</v>
      </c>
      <c r="F53" s="2">
        <v>2.5515188165790501E-2</v>
      </c>
      <c r="G53" s="2">
        <v>9.8432339396194807E-2</v>
      </c>
      <c r="H53" s="2">
        <v>5.3961017816439496E-3</v>
      </c>
      <c r="I53" s="2">
        <v>2.4817416383681401E-2</v>
      </c>
      <c r="J53" s="2">
        <v>2.1979811136437599E-2</v>
      </c>
      <c r="K53" s="2">
        <v>0.24775550076754799</v>
      </c>
      <c r="L53" s="2">
        <v>1.3955435642182601E-4</v>
      </c>
      <c r="M53" s="2">
        <v>8.2104479694841102E-3</v>
      </c>
      <c r="N53" s="2">
        <v>4.0121877471274998E-2</v>
      </c>
      <c r="O53" s="2">
        <v>2.0863376285063E-2</v>
      </c>
      <c r="P53" s="2">
        <v>5.3658650044192201E-2</v>
      </c>
      <c r="Q53" s="2">
        <v>9.5292366376703699E-2</v>
      </c>
      <c r="R53" s="2">
        <v>1.1257384751360599E-2</v>
      </c>
      <c r="S53" s="2">
        <v>1.16295297018188E-3</v>
      </c>
      <c r="T53" s="2">
        <v>4.3913104154068003E-2</v>
      </c>
      <c r="U53" s="2">
        <v>4.2168674698795101E-2</v>
      </c>
      <c r="V53" s="2">
        <v>8.6942364050797694E-2</v>
      </c>
      <c r="W53" s="2">
        <v>1.91189468297902E-2</v>
      </c>
      <c r="X53" s="2">
        <v>4.9309205935711897E-3</v>
      </c>
      <c r="Y53" s="2">
        <v>4.1633716332511502E-3</v>
      </c>
      <c r="Z53" s="2">
        <v>3.0469367818765402E-3</v>
      </c>
      <c r="AA53" s="2">
        <v>6.7218681676512997E-3</v>
      </c>
      <c r="AB53" s="2">
        <v>1.0955016979113301E-2</v>
      </c>
      <c r="AC53" s="19">
        <f t="shared" si="0"/>
        <v>0.24775550076754799</v>
      </c>
      <c r="AD53" s="20" t="str">
        <f t="shared" si="1"/>
        <v>i</v>
      </c>
      <c r="AE53" s="21" t="str">
        <f t="shared" si="6"/>
        <v>sereeiai</v>
      </c>
      <c r="AF53" s="22" t="str">
        <f t="shared" si="2"/>
        <v/>
      </c>
      <c r="AG53" s="19" cm="1">
        <f t="array" ref="AG53">MAX(IF($C53:$AB53&lt;AC53,$C53:$AB53))</f>
        <v>9.8432339396194807E-2</v>
      </c>
      <c r="AH53" s="20" t="str">
        <f t="shared" si="3"/>
        <v>e</v>
      </c>
      <c r="AI53" s="21" t="str">
        <f t="shared" si="4"/>
        <v>ponioate</v>
      </c>
      <c r="AJ53" s="22" t="str">
        <f t="shared" si="5"/>
        <v/>
      </c>
    </row>
    <row r="54" spans="1:36" x14ac:dyDescent="0.25">
      <c r="A54" s="2">
        <v>10</v>
      </c>
      <c r="B54" s="2">
        <v>9</v>
      </c>
      <c r="C54" s="2">
        <v>6.5241661627203795E-2</v>
      </c>
      <c r="D54" s="2">
        <v>1.09317579197097E-3</v>
      </c>
      <c r="E54" s="2">
        <v>2.56082244034051E-2</v>
      </c>
      <c r="F54" s="2">
        <v>1.22110061869098E-2</v>
      </c>
      <c r="G54" s="2">
        <v>0.20165604502953899</v>
      </c>
      <c r="H54" s="2">
        <v>3.4190817323347402E-3</v>
      </c>
      <c r="I54" s="2">
        <v>1.2932037028422501E-2</v>
      </c>
      <c r="J54" s="2">
        <v>8.4197795041168495E-3</v>
      </c>
      <c r="K54" s="2">
        <v>9.5455179792529196E-2</v>
      </c>
      <c r="L54" s="2">
        <v>2.3259059403637701E-5</v>
      </c>
      <c r="M54" s="2">
        <v>1.18156021770479E-2</v>
      </c>
      <c r="N54" s="2">
        <v>8.8756570684281499E-2</v>
      </c>
      <c r="O54" s="2">
        <v>1.5141647671768101E-2</v>
      </c>
      <c r="P54" s="2">
        <v>0.12941340652184</v>
      </c>
      <c r="Q54" s="2">
        <v>4.99837186584174E-2</v>
      </c>
      <c r="R54" s="2">
        <v>8.7454063357677806E-3</v>
      </c>
      <c r="S54" s="2">
        <v>0</v>
      </c>
      <c r="T54" s="2">
        <v>5.4775084895566803E-2</v>
      </c>
      <c r="U54" s="2">
        <v>8.1383448853328294E-2</v>
      </c>
      <c r="V54" s="2">
        <v>6.3287900637298194E-2</v>
      </c>
      <c r="W54" s="2">
        <v>4.4541098757966198E-2</v>
      </c>
      <c r="X54" s="2">
        <v>1.15132344048006E-2</v>
      </c>
      <c r="Y54" s="2">
        <v>9.3036237614550798E-4</v>
      </c>
      <c r="Z54" s="2">
        <v>7.9080801972368205E-4</v>
      </c>
      <c r="AA54" s="2">
        <v>2.0002791087128402E-3</v>
      </c>
      <c r="AB54" s="2">
        <v>1.08619807414988E-2</v>
      </c>
      <c r="AC54" s="19">
        <f t="shared" si="0"/>
        <v>0.20165604502953899</v>
      </c>
      <c r="AD54" s="20" t="str">
        <f t="shared" si="1"/>
        <v>e</v>
      </c>
      <c r="AE54" s="21" t="str">
        <f t="shared" si="6"/>
        <v>sereeiaie</v>
      </c>
      <c r="AF54" s="22" t="str">
        <f t="shared" si="2"/>
        <v/>
      </c>
      <c r="AG54" s="19" cm="1">
        <f t="array" ref="AG54">MAX(IF($C54:$AB54&lt;AC54,$C54:$AB54))</f>
        <v>0.12941340652184</v>
      </c>
      <c r="AH54" s="20" t="str">
        <f t="shared" si="3"/>
        <v>n</v>
      </c>
      <c r="AI54" s="21" t="str">
        <f t="shared" si="4"/>
        <v>ponioaten</v>
      </c>
      <c r="AJ54" s="22" t="str">
        <f t="shared" si="5"/>
        <v/>
      </c>
    </row>
    <row r="55" spans="1:36" x14ac:dyDescent="0.25">
      <c r="A55" s="2">
        <v>10</v>
      </c>
      <c r="B55" s="2">
        <v>10</v>
      </c>
      <c r="C55" s="2">
        <v>2.6352514304321499E-2</v>
      </c>
      <c r="D55" s="2">
        <v>3.0236777224728999E-4</v>
      </c>
      <c r="E55" s="2">
        <v>4.57040517281481E-2</v>
      </c>
      <c r="F55" s="2">
        <v>0.10561938875191799</v>
      </c>
      <c r="G55" s="2">
        <v>0.17309392008187099</v>
      </c>
      <c r="H55" s="2">
        <v>3.5121179699492901E-3</v>
      </c>
      <c r="I55" s="2">
        <v>7.3661441131320601E-2</v>
      </c>
      <c r="J55" s="2">
        <v>1.39089175233753E-2</v>
      </c>
      <c r="K55" s="2">
        <v>3.1167139600874502E-3</v>
      </c>
      <c r="L55" s="2">
        <v>0</v>
      </c>
      <c r="M55" s="2">
        <v>5.7915057915057903E-3</v>
      </c>
      <c r="N55" s="2">
        <v>4.7122854351770001E-2</v>
      </c>
      <c r="O55" s="2">
        <v>2.80969437595943E-2</v>
      </c>
      <c r="P55" s="2">
        <v>5.1611852816672001E-2</v>
      </c>
      <c r="Q55" s="2">
        <v>3.8842629204074901E-3</v>
      </c>
      <c r="R55" s="2">
        <v>5.76824673210215E-3</v>
      </c>
      <c r="S55" s="2">
        <v>0</v>
      </c>
      <c r="T55" s="2">
        <v>6.20319114295017E-2</v>
      </c>
      <c r="U55" s="2">
        <v>0.192375680327487</v>
      </c>
      <c r="V55" s="2">
        <v>5.6752104944876001E-2</v>
      </c>
      <c r="W55" s="2">
        <v>3.4888589105456499E-4</v>
      </c>
      <c r="X55" s="2">
        <v>4.6518118807275403E-5</v>
      </c>
      <c r="Y55" s="2">
        <v>1.0699167325673299E-3</v>
      </c>
      <c r="Z55" s="2">
        <v>1.72117039586919E-3</v>
      </c>
      <c r="AA55" s="2">
        <v>9.7967158208122004E-2</v>
      </c>
      <c r="AB55" s="2">
        <v>1.3955435642182601E-4</v>
      </c>
      <c r="AC55" s="19">
        <f t="shared" si="0"/>
        <v>0.192375680327487</v>
      </c>
      <c r="AD55" s="20" t="str">
        <f t="shared" si="1"/>
        <v>s</v>
      </c>
      <c r="AE55" s="21" t="str">
        <f t="shared" si="6"/>
        <v>sereeiaies</v>
      </c>
      <c r="AF55" s="22" t="str">
        <f t="shared" si="2"/>
        <v>sereeiaies</v>
      </c>
      <c r="AG55" s="19" cm="1">
        <f t="array" ref="AG55">MAX(IF($C55:$AB55&lt;AC55,$C55:$AB55))</f>
        <v>0.17309392008187099</v>
      </c>
      <c r="AH55" s="20" t="str">
        <f t="shared" si="3"/>
        <v>e</v>
      </c>
      <c r="AI55" s="21" t="str">
        <f t="shared" si="4"/>
        <v>ponioatene</v>
      </c>
      <c r="AJ55" s="22" t="str">
        <f t="shared" si="5"/>
        <v>ponioatene</v>
      </c>
    </row>
    <row r="56" spans="1:36" x14ac:dyDescent="0.25">
      <c r="A56" s="2">
        <v>11</v>
      </c>
      <c r="B56" s="2">
        <v>1</v>
      </c>
      <c r="C56" s="2">
        <v>7.0533486585741906E-2</v>
      </c>
      <c r="D56" s="2">
        <v>3.6191864539822198E-2</v>
      </c>
      <c r="E56" s="2">
        <v>9.2119649014605703E-2</v>
      </c>
      <c r="F56" s="2">
        <v>5.2115163578256803E-2</v>
      </c>
      <c r="G56" s="2">
        <v>3.9275602029659899E-2</v>
      </c>
      <c r="H56" s="2">
        <v>2.59594628689972E-2</v>
      </c>
      <c r="I56" s="2">
        <v>2.2202909926831299E-2</v>
      </c>
      <c r="J56" s="2">
        <v>3.8042107033724799E-2</v>
      </c>
      <c r="K56" s="2">
        <v>4.7489557343500299E-2</v>
      </c>
      <c r="L56" s="2">
        <v>3.1117714670180199E-3</v>
      </c>
      <c r="M56" s="2">
        <v>4.4854363488548103E-3</v>
      </c>
      <c r="N56" s="2">
        <v>2.0773177090633799E-2</v>
      </c>
      <c r="O56" s="2">
        <v>5.4189677889602099E-2</v>
      </c>
      <c r="P56" s="2">
        <v>3.8182276919626501E-2</v>
      </c>
      <c r="Q56" s="2">
        <v>3.7845869193462403E-2</v>
      </c>
      <c r="R56" s="2">
        <v>0.112107874744189</v>
      </c>
      <c r="S56" s="2">
        <v>4.0368927139693301E-3</v>
      </c>
      <c r="T56" s="2">
        <v>4.6199994393204498E-2</v>
      </c>
      <c r="U56" s="2">
        <v>9.4082027417229597E-2</v>
      </c>
      <c r="V56" s="2">
        <v>4.5134703260351502E-2</v>
      </c>
      <c r="W56" s="2">
        <v>8.6428751646996094E-2</v>
      </c>
      <c r="X56" s="2">
        <v>1.36805808640071E-2</v>
      </c>
      <c r="Y56" s="2">
        <v>1.18864063244652E-2</v>
      </c>
      <c r="Z56" s="2">
        <v>1.4016988590171201E-3</v>
      </c>
      <c r="AA56" s="2">
        <v>5.3264556642650801E-4</v>
      </c>
      <c r="AB56" s="2">
        <v>1.9904123798043199E-3</v>
      </c>
      <c r="AC56" s="19">
        <f t="shared" si="0"/>
        <v>0.112107874744189</v>
      </c>
      <c r="AD56" s="20" t="str">
        <f t="shared" si="1"/>
        <v>p</v>
      </c>
      <c r="AE56" s="21" t="str">
        <f t="shared" si="6"/>
        <v>p</v>
      </c>
      <c r="AF56" s="22" t="str">
        <f t="shared" si="2"/>
        <v/>
      </c>
      <c r="AG56" s="19" cm="1">
        <f t="array" ref="AG56">MAX(IF($C56:$AB56&lt;AC56,$C56:$AB56))</f>
        <v>9.4082027417229597E-2</v>
      </c>
      <c r="AH56" s="20" t="str">
        <f t="shared" si="3"/>
        <v>s</v>
      </c>
      <c r="AI56" s="21" t="str">
        <f t="shared" si="4"/>
        <v>s</v>
      </c>
      <c r="AJ56" s="22" t="str">
        <f t="shared" si="5"/>
        <v/>
      </c>
    </row>
    <row r="57" spans="1:36" x14ac:dyDescent="0.25">
      <c r="A57" s="2">
        <v>11</v>
      </c>
      <c r="B57" s="2">
        <v>2</v>
      </c>
      <c r="C57" s="2">
        <v>9.7726444450674202E-2</v>
      </c>
      <c r="D57" s="2">
        <v>6.0273050937736496E-3</v>
      </c>
      <c r="E57" s="2">
        <v>1.8726696756468798E-2</v>
      </c>
      <c r="F57" s="2">
        <v>6.16747497967536E-3</v>
      </c>
      <c r="G57" s="2">
        <v>0.156065150962967</v>
      </c>
      <c r="H57" s="2">
        <v>3.2239073757393899E-3</v>
      </c>
      <c r="I57" s="2">
        <v>2.1866502200667201E-3</v>
      </c>
      <c r="J57" s="2">
        <v>3.8686888508872697E-2</v>
      </c>
      <c r="K57" s="2">
        <v>7.7513946903647199E-2</v>
      </c>
      <c r="L57" s="2">
        <v>1.96237840262398E-4</v>
      </c>
      <c r="M57" s="2">
        <v>8.69053292590619E-4</v>
      </c>
      <c r="N57" s="2">
        <v>3.5182641361329897E-2</v>
      </c>
      <c r="O57" s="2">
        <v>1.7605337669255101E-2</v>
      </c>
      <c r="P57" s="2">
        <v>0.142720977825124</v>
      </c>
      <c r="Q57" s="2">
        <v>0.12904039696111599</v>
      </c>
      <c r="R57" s="2">
        <v>1.9371478231616699E-2</v>
      </c>
      <c r="S57" s="2">
        <v>2.9155336267556202E-3</v>
      </c>
      <c r="T57" s="2">
        <v>9.06899161784082E-2</v>
      </c>
      <c r="U57" s="2">
        <v>1.30077654116789E-2</v>
      </c>
      <c r="V57" s="2">
        <v>1.7521235737714101E-2</v>
      </c>
      <c r="W57" s="2">
        <v>6.5431302738919506E-2</v>
      </c>
      <c r="X57" s="2">
        <v>1.6904488239746499E-2</v>
      </c>
      <c r="Y57" s="2">
        <v>1.9904123798043199E-3</v>
      </c>
      <c r="Z57" s="2">
        <v>1.07930812144318E-2</v>
      </c>
      <c r="AA57" s="2">
        <v>2.8931064450113501E-2</v>
      </c>
      <c r="AB57" s="2">
        <v>5.0461158924616605E-4</v>
      </c>
      <c r="AC57" s="19">
        <f t="shared" si="0"/>
        <v>0.156065150962967</v>
      </c>
      <c r="AD57" s="20" t="str">
        <f t="shared" si="1"/>
        <v>e</v>
      </c>
      <c r="AE57" s="21" t="str">
        <f t="shared" si="6"/>
        <v>pe</v>
      </c>
      <c r="AF57" s="22" t="str">
        <f t="shared" si="2"/>
        <v/>
      </c>
      <c r="AG57" s="19" cm="1">
        <f t="array" ref="AG57">MAX(IF($C57:$AB57&lt;AC57,$C57:$AB57))</f>
        <v>0.142720977825124</v>
      </c>
      <c r="AH57" s="20" t="str">
        <f t="shared" si="3"/>
        <v>n</v>
      </c>
      <c r="AI57" s="21" t="str">
        <f t="shared" si="4"/>
        <v>sn</v>
      </c>
      <c r="AJ57" s="22" t="str">
        <f t="shared" si="5"/>
        <v/>
      </c>
    </row>
    <row r="58" spans="1:36" x14ac:dyDescent="0.25">
      <c r="A58" s="2">
        <v>11</v>
      </c>
      <c r="B58" s="2">
        <v>3</v>
      </c>
      <c r="C58" s="2">
        <v>7.0869894311906004E-2</v>
      </c>
      <c r="D58" s="2">
        <v>2.9687981833982701E-2</v>
      </c>
      <c r="E58" s="2">
        <v>5.8254604580751802E-2</v>
      </c>
      <c r="F58" s="2">
        <v>3.4874267612346098E-2</v>
      </c>
      <c r="G58" s="2">
        <v>8.55877323315858E-2</v>
      </c>
      <c r="H58" s="2">
        <v>1.6063468924336199E-2</v>
      </c>
      <c r="I58" s="2">
        <v>1.92593423228953E-2</v>
      </c>
      <c r="J58" s="2">
        <v>1.06529113285301E-2</v>
      </c>
      <c r="K58" s="2">
        <v>5.22833674413389E-2</v>
      </c>
      <c r="L58" s="2">
        <v>2.1866502200667201E-3</v>
      </c>
      <c r="M58" s="2">
        <v>1.5699027220991799E-3</v>
      </c>
      <c r="N58" s="2">
        <v>6.0188949006195501E-2</v>
      </c>
      <c r="O58" s="2">
        <v>4.2976087017465102E-2</v>
      </c>
      <c r="P58" s="2">
        <v>9.1895377197162897E-2</v>
      </c>
      <c r="Q58" s="2">
        <v>5.9319895713604798E-2</v>
      </c>
      <c r="R58" s="2">
        <v>5.59558184519637E-2</v>
      </c>
      <c r="S58" s="2">
        <v>2.3268201059684301E-3</v>
      </c>
      <c r="T58" s="2">
        <v>8.9876930840178296E-2</v>
      </c>
      <c r="U58" s="2">
        <v>7.2495864988365896E-2</v>
      </c>
      <c r="V58" s="2">
        <v>8.3905693700765296E-2</v>
      </c>
      <c r="W58" s="2">
        <v>2.9547811948080999E-2</v>
      </c>
      <c r="X58" s="2">
        <v>1.07930812144318E-2</v>
      </c>
      <c r="Y58" s="2">
        <v>3.9247568052479601E-3</v>
      </c>
      <c r="Z58" s="2">
        <v>4.31723248577275E-3</v>
      </c>
      <c r="AA58" s="2">
        <v>1.0204367693644601E-2</v>
      </c>
      <c r="AB58" s="2">
        <v>9.8118920131199001E-4</v>
      </c>
      <c r="AC58" s="19">
        <f t="shared" si="0"/>
        <v>9.1895377197162897E-2</v>
      </c>
      <c r="AD58" s="20" t="str">
        <f t="shared" si="1"/>
        <v>n</v>
      </c>
      <c r="AE58" s="21" t="str">
        <f t="shared" si="6"/>
        <v>pen</v>
      </c>
      <c r="AF58" s="22" t="str">
        <f t="shared" si="2"/>
        <v/>
      </c>
      <c r="AG58" s="19" cm="1">
        <f t="array" ref="AG58">MAX(IF($C58:$AB58&lt;AC58,$C58:$AB58))</f>
        <v>8.9876930840178296E-2</v>
      </c>
      <c r="AH58" s="20" t="str">
        <f t="shared" si="3"/>
        <v>r</v>
      </c>
      <c r="AI58" s="21" t="str">
        <f t="shared" si="4"/>
        <v>snr</v>
      </c>
      <c r="AJ58" s="22" t="str">
        <f t="shared" si="5"/>
        <v/>
      </c>
    </row>
    <row r="59" spans="1:36" x14ac:dyDescent="0.25">
      <c r="A59" s="2">
        <v>11</v>
      </c>
      <c r="B59" s="2">
        <v>4</v>
      </c>
      <c r="C59" s="2">
        <v>7.2019287376300006E-2</v>
      </c>
      <c r="D59" s="2">
        <v>1.6680216422303801E-2</v>
      </c>
      <c r="E59" s="2">
        <v>5.2423537327240602E-2</v>
      </c>
      <c r="F59" s="2">
        <v>3.2463345574836697E-2</v>
      </c>
      <c r="G59" s="2">
        <v>0.121246951304981</v>
      </c>
      <c r="H59" s="2">
        <v>1.25872557539738E-2</v>
      </c>
      <c r="I59" s="2">
        <v>1.9932157775223499E-2</v>
      </c>
      <c r="J59" s="2">
        <v>2.9772083765523798E-2</v>
      </c>
      <c r="K59" s="2">
        <v>8.4129965518208005E-2</v>
      </c>
      <c r="L59" s="2">
        <v>1.7661405623615801E-3</v>
      </c>
      <c r="M59" s="2">
        <v>8.3541251997420792E-3</v>
      </c>
      <c r="N59" s="2">
        <v>4.6984945754254097E-2</v>
      </c>
      <c r="O59" s="2">
        <v>3.3668806593591401E-2</v>
      </c>
      <c r="P59" s="2">
        <v>5.26758431218637E-2</v>
      </c>
      <c r="Q59" s="2">
        <v>8.6933363236242303E-2</v>
      </c>
      <c r="R59" s="2">
        <v>3.9864315550447102E-2</v>
      </c>
      <c r="S59" s="2">
        <v>2.5510919234111701E-3</v>
      </c>
      <c r="T59" s="2">
        <v>9.2063581060244995E-2</v>
      </c>
      <c r="U59" s="2">
        <v>4.6396232233466901E-2</v>
      </c>
      <c r="V59" s="2">
        <v>7.9980936895517302E-2</v>
      </c>
      <c r="W59" s="2">
        <v>3.5715286927756398E-2</v>
      </c>
      <c r="X59" s="2">
        <v>1.1437862689579701E-2</v>
      </c>
      <c r="Y59" s="2">
        <v>3.58834907908384E-3</v>
      </c>
      <c r="Z59" s="2">
        <v>4.0649266911496696E-3</v>
      </c>
      <c r="AA59" s="2">
        <v>1.0905217123153199E-2</v>
      </c>
      <c r="AB59" s="2">
        <v>1.79417453954192E-3</v>
      </c>
      <c r="AC59" s="19">
        <f t="shared" si="0"/>
        <v>0.121246951304981</v>
      </c>
      <c r="AD59" s="20" t="str">
        <f t="shared" si="1"/>
        <v>e</v>
      </c>
      <c r="AE59" s="21" t="str">
        <f t="shared" si="6"/>
        <v>pene</v>
      </c>
      <c r="AF59" s="22" t="str">
        <f t="shared" si="2"/>
        <v/>
      </c>
      <c r="AG59" s="19" cm="1">
        <f t="array" ref="AG59">MAX(IF($C59:$AB59&lt;AC59,$C59:$AB59))</f>
        <v>9.2063581060244995E-2</v>
      </c>
      <c r="AH59" s="20" t="str">
        <f t="shared" si="3"/>
        <v>r</v>
      </c>
      <c r="AI59" s="21" t="str">
        <f t="shared" si="4"/>
        <v>snrr</v>
      </c>
      <c r="AJ59" s="22" t="str">
        <f t="shared" si="5"/>
        <v/>
      </c>
    </row>
    <row r="60" spans="1:36" x14ac:dyDescent="0.25">
      <c r="A60" s="2">
        <v>11</v>
      </c>
      <c r="B60" s="2">
        <v>5</v>
      </c>
      <c r="C60" s="2">
        <v>7.6841131451319003E-2</v>
      </c>
      <c r="D60" s="2">
        <v>1.9511648117518401E-2</v>
      </c>
      <c r="E60" s="2">
        <v>4.6284096324745498E-2</v>
      </c>
      <c r="F60" s="2">
        <v>2.62398026408006E-2</v>
      </c>
      <c r="G60" s="2">
        <v>9.4334333211852694E-2</v>
      </c>
      <c r="H60" s="2">
        <v>1.4213226430433599E-2</v>
      </c>
      <c r="I60" s="2">
        <v>2.4669899918701398E-2</v>
      </c>
      <c r="J60" s="2">
        <v>3.3332398867427303E-2</v>
      </c>
      <c r="K60" s="2">
        <v>9.92963471727734E-2</v>
      </c>
      <c r="L60" s="2">
        <v>1.4016988590171201E-3</v>
      </c>
      <c r="M60" s="2">
        <v>8.2139553138403706E-3</v>
      </c>
      <c r="N60" s="2">
        <v>4.8386644613271197E-2</v>
      </c>
      <c r="O60" s="2">
        <v>3.19867679627708E-2</v>
      </c>
      <c r="P60" s="2">
        <v>4.9508003700484901E-2</v>
      </c>
      <c r="Q60" s="2">
        <v>0.108155083961761</v>
      </c>
      <c r="R60" s="2">
        <v>3.4397690000280298E-2</v>
      </c>
      <c r="S60" s="2">
        <v>2.2987861287880901E-3</v>
      </c>
      <c r="T60" s="2">
        <v>0.10151103137002</v>
      </c>
      <c r="U60" s="2">
        <v>4.8134338818648197E-2</v>
      </c>
      <c r="V60" s="2">
        <v>6.6496593871772494E-2</v>
      </c>
      <c r="W60" s="2">
        <v>3.7593563398839298E-2</v>
      </c>
      <c r="X60" s="2">
        <v>8.8026688346275594E-3</v>
      </c>
      <c r="Y60" s="2">
        <v>4.56953828039584E-3</v>
      </c>
      <c r="Z60" s="2">
        <v>2.5510919234111701E-3</v>
      </c>
      <c r="AA60" s="2">
        <v>9.5876201956771601E-3</v>
      </c>
      <c r="AB60" s="2">
        <v>1.6820386308205499E-3</v>
      </c>
      <c r="AC60" s="19">
        <f t="shared" si="0"/>
        <v>0.108155083961761</v>
      </c>
      <c r="AD60" s="20" t="str">
        <f t="shared" si="1"/>
        <v>o</v>
      </c>
      <c r="AE60" s="21" t="str">
        <f t="shared" si="6"/>
        <v>peneo</v>
      </c>
      <c r="AF60" s="22" t="str">
        <f t="shared" si="2"/>
        <v/>
      </c>
      <c r="AG60" s="19" cm="1">
        <f t="array" ref="AG60">MAX(IF($C60:$AB60&lt;AC60,$C60:$AB60))</f>
        <v>0.10151103137002</v>
      </c>
      <c r="AH60" s="20" t="str">
        <f t="shared" si="3"/>
        <v>r</v>
      </c>
      <c r="AI60" s="21" t="str">
        <f t="shared" si="4"/>
        <v>snrrr</v>
      </c>
      <c r="AJ60" s="22" t="str">
        <f t="shared" si="5"/>
        <v/>
      </c>
    </row>
    <row r="61" spans="1:36" x14ac:dyDescent="0.25">
      <c r="A61" s="2">
        <v>11</v>
      </c>
      <c r="B61" s="2">
        <v>6</v>
      </c>
      <c r="C61" s="2">
        <v>7.3897563847382997E-2</v>
      </c>
      <c r="D61" s="2">
        <v>2.0156429592666301E-2</v>
      </c>
      <c r="E61" s="2">
        <v>5.3657032323175598E-2</v>
      </c>
      <c r="F61" s="2">
        <v>2.2707521516077401E-2</v>
      </c>
      <c r="G61" s="2">
        <v>9.03254744750637E-2</v>
      </c>
      <c r="H61" s="2">
        <v>1.88668666423705E-2</v>
      </c>
      <c r="I61" s="2">
        <v>2.7417229682375002E-2</v>
      </c>
      <c r="J61" s="2">
        <v>3.1818564099688799E-2</v>
      </c>
      <c r="K61" s="2">
        <v>8.0233242690140399E-2</v>
      </c>
      <c r="L61" s="2">
        <v>1.2615289731154099E-3</v>
      </c>
      <c r="M61" s="2">
        <v>3.8967228280676102E-3</v>
      </c>
      <c r="N61" s="2">
        <v>6.9440161475708501E-2</v>
      </c>
      <c r="O61" s="2">
        <v>3.8210310896806897E-2</v>
      </c>
      <c r="P61" s="2">
        <v>6.6132152168428104E-2</v>
      </c>
      <c r="Q61" s="2">
        <v>8.7101567099324304E-2</v>
      </c>
      <c r="R61" s="2">
        <v>3.5967592722379503E-2</v>
      </c>
      <c r="S61" s="2">
        <v>1.3175969274760999E-3</v>
      </c>
      <c r="T61" s="2">
        <v>8.3989795632306297E-2</v>
      </c>
      <c r="U61" s="2">
        <v>5.2507639258781602E-2</v>
      </c>
      <c r="V61" s="2">
        <v>7.4682515208432595E-2</v>
      </c>
      <c r="W61" s="2">
        <v>3.1594292282246E-2</v>
      </c>
      <c r="X61" s="2">
        <v>1.3876818704269499E-2</v>
      </c>
      <c r="Y61" s="2">
        <v>6.8683244091839301E-3</v>
      </c>
      <c r="Z61" s="2">
        <v>2.2427181744273999E-3</v>
      </c>
      <c r="AA61" s="2">
        <v>9.6436881500378407E-3</v>
      </c>
      <c r="AB61" s="2">
        <v>2.1866502200667201E-3</v>
      </c>
      <c r="AC61" s="19">
        <f t="shared" si="0"/>
        <v>9.03254744750637E-2</v>
      </c>
      <c r="AD61" s="20" t="str">
        <f t="shared" si="1"/>
        <v>e</v>
      </c>
      <c r="AE61" s="21" t="str">
        <f t="shared" si="6"/>
        <v>peneoe</v>
      </c>
      <c r="AF61" s="22" t="str">
        <f t="shared" si="2"/>
        <v/>
      </c>
      <c r="AG61" s="19" cm="1">
        <f t="array" ref="AG61">MAX(IF($C61:$AB61&lt;AC61,$C61:$AB61))</f>
        <v>8.7101567099324304E-2</v>
      </c>
      <c r="AH61" s="20" t="str">
        <f t="shared" si="3"/>
        <v>o</v>
      </c>
      <c r="AI61" s="21" t="str">
        <f t="shared" si="4"/>
        <v>snrrro</v>
      </c>
      <c r="AJ61" s="22" t="str">
        <f t="shared" si="5"/>
        <v/>
      </c>
    </row>
    <row r="62" spans="1:36" x14ac:dyDescent="0.25">
      <c r="A62" s="2">
        <v>11</v>
      </c>
      <c r="B62" s="2">
        <v>7</v>
      </c>
      <c r="C62" s="2">
        <v>0.132292338314036</v>
      </c>
      <c r="D62" s="2">
        <v>1.1578032575481401E-2</v>
      </c>
      <c r="E62" s="2">
        <v>4.7209217571696799E-2</v>
      </c>
      <c r="F62" s="2">
        <v>2.4389560146897998E-2</v>
      </c>
      <c r="G62" s="2">
        <v>0.102800594320316</v>
      </c>
      <c r="H62" s="2">
        <v>7.40096997561044E-3</v>
      </c>
      <c r="I62" s="2">
        <v>2.3436404922766298E-2</v>
      </c>
      <c r="J62" s="2">
        <v>3.1033612738639201E-2</v>
      </c>
      <c r="K62" s="2">
        <v>0.12915253286983799</v>
      </c>
      <c r="L62" s="2">
        <v>3.6444170334445301E-4</v>
      </c>
      <c r="M62" s="2">
        <v>2.7473297636735699E-3</v>
      </c>
      <c r="N62" s="2">
        <v>5.2647809144683297E-2</v>
      </c>
      <c r="O62" s="2">
        <v>2.70808219562109E-2</v>
      </c>
      <c r="P62" s="2">
        <v>5.0152785175632798E-2</v>
      </c>
      <c r="Q62" s="2">
        <v>8.9176081410669697E-2</v>
      </c>
      <c r="R62" s="2">
        <v>2.8987132404474199E-2</v>
      </c>
      <c r="S62" s="2">
        <v>1.06529113285301E-3</v>
      </c>
      <c r="T62" s="2">
        <v>7.3056544531972703E-2</v>
      </c>
      <c r="U62" s="2">
        <v>3.8939194303495801E-2</v>
      </c>
      <c r="V62" s="2">
        <v>7.2131423285021395E-2</v>
      </c>
      <c r="W62" s="2">
        <v>3.0613103080934002E-2</v>
      </c>
      <c r="X62" s="2">
        <v>4.6256062347565198E-3</v>
      </c>
      <c r="Y62" s="2">
        <v>4.8498780521992598E-3</v>
      </c>
      <c r="Z62" s="2">
        <v>1.7100726080008901E-3</v>
      </c>
      <c r="AA62" s="2">
        <v>1.1101454963415599E-2</v>
      </c>
      <c r="AB62" s="2">
        <v>1.4577668133778101E-3</v>
      </c>
      <c r="AC62" s="19">
        <f t="shared" si="0"/>
        <v>0.132292338314036</v>
      </c>
      <c r="AD62" s="20" t="str">
        <f t="shared" si="1"/>
        <v>a</v>
      </c>
      <c r="AE62" s="21" t="str">
        <f t="shared" si="6"/>
        <v>peneoea</v>
      </c>
      <c r="AF62" s="22" t="str">
        <f t="shared" si="2"/>
        <v/>
      </c>
      <c r="AG62" s="19" cm="1">
        <f t="array" ref="AG62">MAX(IF($C62:$AB62&lt;AC62,$C62:$AB62))</f>
        <v>0.12915253286983799</v>
      </c>
      <c r="AH62" s="20" t="str">
        <f t="shared" si="3"/>
        <v>i</v>
      </c>
      <c r="AI62" s="21" t="str">
        <f t="shared" si="4"/>
        <v>snrrroi</v>
      </c>
      <c r="AJ62" s="22" t="str">
        <f t="shared" si="5"/>
        <v/>
      </c>
    </row>
    <row r="63" spans="1:36" x14ac:dyDescent="0.25">
      <c r="A63" s="2">
        <v>11</v>
      </c>
      <c r="B63" s="2">
        <v>8</v>
      </c>
      <c r="C63" s="2">
        <v>0.106949622943006</v>
      </c>
      <c r="D63" s="2">
        <v>6.8402904320035802E-3</v>
      </c>
      <c r="E63" s="2">
        <v>3.5126573406969203E-2</v>
      </c>
      <c r="F63" s="2">
        <v>2.3324269014044999E-2</v>
      </c>
      <c r="G63" s="2">
        <v>6.8823413977740999E-2</v>
      </c>
      <c r="H63" s="2">
        <v>1.1718202461383101E-2</v>
      </c>
      <c r="I63" s="2">
        <v>1.7605337669255101E-2</v>
      </c>
      <c r="J63" s="2">
        <v>2.6660312298505701E-2</v>
      </c>
      <c r="K63" s="2">
        <v>9.5679964116509197E-2</v>
      </c>
      <c r="L63" s="2">
        <v>1.4016988590171201E-4</v>
      </c>
      <c r="M63" s="2">
        <v>7.40096997561044E-3</v>
      </c>
      <c r="N63" s="2">
        <v>7.4990888957416305E-2</v>
      </c>
      <c r="O63" s="2">
        <v>2.6520142412604E-2</v>
      </c>
      <c r="P63" s="2">
        <v>9.8847803537887899E-2</v>
      </c>
      <c r="Q63" s="2">
        <v>4.9844411426648999E-2</v>
      </c>
      <c r="R63" s="2">
        <v>1.9763953912141499E-2</v>
      </c>
      <c r="S63" s="2">
        <v>2.5230579462308302E-4</v>
      </c>
      <c r="T63" s="2">
        <v>8.4886882902077299E-2</v>
      </c>
      <c r="U63" s="2">
        <v>5.4806425387569697E-2</v>
      </c>
      <c r="V63" s="2">
        <v>0.12273275209553899</v>
      </c>
      <c r="W63" s="2">
        <v>2.8454486838047698E-2</v>
      </c>
      <c r="X63" s="2">
        <v>9.2231784923326992E-3</v>
      </c>
      <c r="Y63" s="2">
        <v>7.51310588433181E-3</v>
      </c>
      <c r="Z63" s="2">
        <v>1.59793669927952E-3</v>
      </c>
      <c r="AA63" s="2">
        <v>1.14658966667601E-2</v>
      </c>
      <c r="AB63" s="2">
        <v>8.8307028118079101E-3</v>
      </c>
      <c r="AC63" s="19">
        <f t="shared" si="0"/>
        <v>0.12273275209553899</v>
      </c>
      <c r="AD63" s="20" t="str">
        <f t="shared" si="1"/>
        <v>t</v>
      </c>
      <c r="AE63" s="21" t="str">
        <f t="shared" si="6"/>
        <v>peneoeat</v>
      </c>
      <c r="AF63" s="22" t="str">
        <f t="shared" si="2"/>
        <v/>
      </c>
      <c r="AG63" s="19" cm="1">
        <f t="array" ref="AG63">MAX(IF($C63:$AB63&lt;AC63,$C63:$AB63))</f>
        <v>0.106949622943006</v>
      </c>
      <c r="AH63" s="20" t="str">
        <f t="shared" si="3"/>
        <v>a</v>
      </c>
      <c r="AI63" s="21" t="str">
        <f t="shared" si="4"/>
        <v>snrrroia</v>
      </c>
      <c r="AJ63" s="22" t="str">
        <f t="shared" si="5"/>
        <v/>
      </c>
    </row>
    <row r="64" spans="1:36" x14ac:dyDescent="0.25">
      <c r="A64" s="2">
        <v>11</v>
      </c>
      <c r="B64" s="2">
        <v>9</v>
      </c>
      <c r="C64" s="2">
        <v>5.7637857082784301E-2</v>
      </c>
      <c r="D64" s="2">
        <v>3.8434582714249599E-2</v>
      </c>
      <c r="E64" s="2">
        <v>2.3660676740209101E-2</v>
      </c>
      <c r="F64" s="2">
        <v>2.1081550839617599E-2</v>
      </c>
      <c r="G64" s="2">
        <v>9.6072439797034004E-2</v>
      </c>
      <c r="H64" s="2">
        <v>3.1117714670180199E-3</v>
      </c>
      <c r="I64" s="2">
        <v>2.3632642763028702E-2</v>
      </c>
      <c r="J64" s="2">
        <v>2.3856914580471501E-2</v>
      </c>
      <c r="K64" s="2">
        <v>0.26845336547895998</v>
      </c>
      <c r="L64" s="2">
        <v>5.6067954360685101E-5</v>
      </c>
      <c r="M64" s="2">
        <v>7.0084942950856396E-3</v>
      </c>
      <c r="N64" s="2">
        <v>3.7341257604216298E-2</v>
      </c>
      <c r="O64" s="2">
        <v>1.7212861988730298E-2</v>
      </c>
      <c r="P64" s="2">
        <v>5.1918925737994399E-2</v>
      </c>
      <c r="Q64" s="2">
        <v>0.101426929438479</v>
      </c>
      <c r="R64" s="2">
        <v>1.2194780073448999E-2</v>
      </c>
      <c r="S64" s="2">
        <v>9.5315522413164696E-4</v>
      </c>
      <c r="T64" s="2">
        <v>3.98082475960864E-2</v>
      </c>
      <c r="U64" s="2">
        <v>4.6115892461663498E-2</v>
      </c>
      <c r="V64" s="2">
        <v>8.8699503798603904E-2</v>
      </c>
      <c r="W64" s="2">
        <v>1.3736648818367799E-2</v>
      </c>
      <c r="X64" s="2">
        <v>4.6536402119368601E-3</v>
      </c>
      <c r="Y64" s="2">
        <v>2.4389560146898001E-3</v>
      </c>
      <c r="Z64" s="2">
        <v>2.94356760393597E-3</v>
      </c>
      <c r="AA64" s="2">
        <v>4.8498780521992598E-3</v>
      </c>
      <c r="AB64" s="2">
        <v>1.2699391662695099E-2</v>
      </c>
      <c r="AC64" s="19">
        <f t="shared" si="0"/>
        <v>0.26845336547895998</v>
      </c>
      <c r="AD64" s="20" t="str">
        <f t="shared" si="1"/>
        <v>i</v>
      </c>
      <c r="AE64" s="21" t="str">
        <f t="shared" si="6"/>
        <v>peneoeati</v>
      </c>
      <c r="AF64" s="22" t="str">
        <f t="shared" si="2"/>
        <v/>
      </c>
      <c r="AG64" s="19" cm="1">
        <f t="array" ref="AG64">MAX(IF($C64:$AB64&lt;AC64,$C64:$AB64))</f>
        <v>0.101426929438479</v>
      </c>
      <c r="AH64" s="20" t="str">
        <f t="shared" si="3"/>
        <v>o</v>
      </c>
      <c r="AI64" s="21" t="str">
        <f t="shared" si="4"/>
        <v>snrrroiao</v>
      </c>
      <c r="AJ64" s="22" t="str">
        <f t="shared" si="5"/>
        <v/>
      </c>
    </row>
    <row r="65" spans="1:36" x14ac:dyDescent="0.25">
      <c r="A65" s="2">
        <v>11</v>
      </c>
      <c r="B65" s="2">
        <v>10</v>
      </c>
      <c r="C65" s="2">
        <v>7.3364918280956495E-2</v>
      </c>
      <c r="D65" s="2">
        <v>7.5691738386924896E-4</v>
      </c>
      <c r="E65" s="2">
        <v>2.3324269014044999E-2</v>
      </c>
      <c r="F65" s="2">
        <v>1.0148299739284E-2</v>
      </c>
      <c r="G65" s="2">
        <v>0.17229682375038499</v>
      </c>
      <c r="H65" s="2">
        <v>2.0464803341650002E-3</v>
      </c>
      <c r="I65" s="2">
        <v>8.9989066748899608E-3</v>
      </c>
      <c r="J65" s="2">
        <v>8.8026688346275594E-3</v>
      </c>
      <c r="K65" s="2">
        <v>0.10997729247848299</v>
      </c>
      <c r="L65" s="2">
        <v>0</v>
      </c>
      <c r="M65" s="2">
        <v>6.7001205461018698E-3</v>
      </c>
      <c r="N65" s="2">
        <v>9.7305934792969007E-2</v>
      </c>
      <c r="O65" s="2">
        <v>1.33161391606627E-2</v>
      </c>
      <c r="P65" s="2">
        <v>0.13170362479324901</v>
      </c>
      <c r="Q65" s="2">
        <v>5.4189677889602099E-2</v>
      </c>
      <c r="R65" s="2">
        <v>7.9336155420369394E-3</v>
      </c>
      <c r="S65" s="2">
        <v>0</v>
      </c>
      <c r="T65" s="2">
        <v>4.9592105632025998E-2</v>
      </c>
      <c r="U65" s="2">
        <v>8.2111519161223404E-2</v>
      </c>
      <c r="V65" s="2">
        <v>6.6104118191247799E-2</v>
      </c>
      <c r="W65" s="2">
        <v>5.3040284825208103E-2</v>
      </c>
      <c r="X65" s="2">
        <v>1.44935662022371E-2</v>
      </c>
      <c r="Y65" s="2">
        <v>5.8871352078719401E-4</v>
      </c>
      <c r="Z65" s="2">
        <v>3.3640772616411001E-4</v>
      </c>
      <c r="AA65" s="2">
        <v>1.65400465364021E-3</v>
      </c>
      <c r="AB65" s="2">
        <v>1.1213590872137E-2</v>
      </c>
      <c r="AC65" s="19">
        <f t="shared" si="0"/>
        <v>0.17229682375038499</v>
      </c>
      <c r="AD65" s="20" t="str">
        <f t="shared" si="1"/>
        <v>e</v>
      </c>
      <c r="AE65" s="21" t="str">
        <f t="shared" si="6"/>
        <v>peneoeatie</v>
      </c>
      <c r="AF65" s="22" t="str">
        <f t="shared" si="2"/>
        <v/>
      </c>
      <c r="AG65" s="19" cm="1">
        <f t="array" ref="AG65">MAX(IF($C65:$AB65&lt;AC65,$C65:$AB65))</f>
        <v>0.13170362479324901</v>
      </c>
      <c r="AH65" s="20" t="str">
        <f t="shared" si="3"/>
        <v>n</v>
      </c>
      <c r="AI65" s="21" t="str">
        <f t="shared" si="4"/>
        <v>snrrroiaon</v>
      </c>
      <c r="AJ65" s="22" t="str">
        <f t="shared" si="5"/>
        <v/>
      </c>
    </row>
    <row r="66" spans="1:36" x14ac:dyDescent="0.25">
      <c r="A66" s="2">
        <v>11</v>
      </c>
      <c r="B66" s="2">
        <v>11</v>
      </c>
      <c r="C66" s="2">
        <v>2.6492108435423701E-2</v>
      </c>
      <c r="D66" s="2">
        <v>1.4016988590171201E-4</v>
      </c>
      <c r="E66" s="2">
        <v>5.6768803790193702E-2</v>
      </c>
      <c r="F66" s="2">
        <v>9.3801687645426193E-2</v>
      </c>
      <c r="G66" s="2">
        <v>0.16133553867287101</v>
      </c>
      <c r="H66" s="2">
        <v>2.8314316952146E-3</v>
      </c>
      <c r="I66" s="2">
        <v>7.8326932241877104E-2</v>
      </c>
      <c r="J66" s="2">
        <v>9.7838580359395494E-3</v>
      </c>
      <c r="K66" s="2">
        <v>1.85024249390261E-3</v>
      </c>
      <c r="L66" s="2">
        <v>0</v>
      </c>
      <c r="M66" s="2">
        <v>2.7473297636735699E-3</v>
      </c>
      <c r="N66" s="2">
        <v>5.4413949707044898E-2</v>
      </c>
      <c r="O66" s="2">
        <v>2.9043200358834901E-2</v>
      </c>
      <c r="P66" s="2">
        <v>5.9992711165933098E-2</v>
      </c>
      <c r="Q66" s="2">
        <v>2.21468419724706E-3</v>
      </c>
      <c r="R66" s="2">
        <v>5.4946595273471397E-3</v>
      </c>
      <c r="S66" s="2">
        <v>0</v>
      </c>
      <c r="T66" s="2">
        <v>5.26758431218637E-2</v>
      </c>
      <c r="U66" s="2">
        <v>0.193013932886658</v>
      </c>
      <c r="V66" s="2">
        <v>4.9227663928681498E-2</v>
      </c>
      <c r="W66" s="2">
        <v>1.6820386308205501E-4</v>
      </c>
      <c r="X66" s="2">
        <v>1.4016988590171201E-4</v>
      </c>
      <c r="Y66" s="2">
        <v>8.4101931541027703E-4</v>
      </c>
      <c r="Z66" s="2">
        <v>1.96237840262398E-3</v>
      </c>
      <c r="AA66" s="2">
        <v>0.11670544700176599</v>
      </c>
      <c r="AB66" s="2">
        <v>2.80339771803425E-5</v>
      </c>
      <c r="AC66" s="19">
        <f t="shared" si="0"/>
        <v>0.193013932886658</v>
      </c>
      <c r="AD66" s="20" t="str">
        <f t="shared" si="1"/>
        <v>s</v>
      </c>
      <c r="AE66" s="21" t="str">
        <f t="shared" si="6"/>
        <v>peneoeaties</v>
      </c>
      <c r="AF66" s="22" t="str">
        <f t="shared" si="2"/>
        <v>peneoeaties</v>
      </c>
      <c r="AG66" s="19" cm="1">
        <f t="array" ref="AG66">MAX(IF($C66:$AB66&lt;AC66,$C66:$AB66))</f>
        <v>0.16133553867287101</v>
      </c>
      <c r="AH66" s="20" t="str">
        <f t="shared" si="3"/>
        <v>e</v>
      </c>
      <c r="AI66" s="21" t="str">
        <f t="shared" si="4"/>
        <v>snrrroiaone</v>
      </c>
      <c r="AJ66" s="22" t="str">
        <f t="shared" si="5"/>
        <v>snrrroiaone</v>
      </c>
    </row>
    <row r="67" spans="1:36" x14ac:dyDescent="0.25">
      <c r="A67" s="2">
        <v>12</v>
      </c>
      <c r="B67" s="2">
        <v>1</v>
      </c>
      <c r="C67" s="2">
        <v>6.68507692859448E-2</v>
      </c>
      <c r="D67" s="2">
        <v>2.6324283613671399E-2</v>
      </c>
      <c r="E67" s="2">
        <v>8.5607717964351002E-2</v>
      </c>
      <c r="F67" s="2">
        <v>5.32582577197575E-2</v>
      </c>
      <c r="G67" s="2">
        <v>4.1207904457913398E-2</v>
      </c>
      <c r="H67" s="2">
        <v>2.1697808700641901E-2</v>
      </c>
      <c r="I67" s="2">
        <v>1.9402503317433501E-2</v>
      </c>
      <c r="J67" s="2">
        <v>3.8553957608578701E-2</v>
      </c>
      <c r="K67" s="2">
        <v>5.6414302621669098E-2</v>
      </c>
      <c r="L67" s="2">
        <v>1.9725280636947199E-3</v>
      </c>
      <c r="M67" s="2">
        <v>3.44295807481261E-3</v>
      </c>
      <c r="N67" s="2">
        <v>1.6605099881648301E-2</v>
      </c>
      <c r="O67" s="2">
        <v>5.3545170892658603E-2</v>
      </c>
      <c r="P67" s="2">
        <v>5.2576838934117499E-2</v>
      </c>
      <c r="Q67" s="2">
        <v>3.6186923932145003E-2</v>
      </c>
      <c r="R67" s="2">
        <v>0.115697736972348</v>
      </c>
      <c r="S67" s="2">
        <v>4.4830183265789098E-3</v>
      </c>
      <c r="T67" s="2">
        <v>4.3036975935157602E-2</v>
      </c>
      <c r="U67" s="2">
        <v>9.6689739267654104E-2</v>
      </c>
      <c r="V67" s="2">
        <v>4.3072840081770203E-2</v>
      </c>
      <c r="W67" s="2">
        <v>0.101065165154395</v>
      </c>
      <c r="X67" s="2">
        <v>1.19786249686188E-2</v>
      </c>
      <c r="Y67" s="2">
        <v>7.2804217623641601E-3</v>
      </c>
      <c r="Z67" s="2">
        <v>8.6073951870315195E-4</v>
      </c>
      <c r="AA67" s="2">
        <v>5.3796219918947005E-4</v>
      </c>
      <c r="AB67" s="2">
        <v>1.6497507441810401E-3</v>
      </c>
      <c r="AC67" s="19">
        <f t="shared" ref="AC67:AC130" si="7">MAX(C67:AB67)</f>
        <v>0.115697736972348</v>
      </c>
      <c r="AD67" s="20" t="str">
        <f t="shared" ref="AD67:AD130" si="8">INDEX($C$1:$AB$1,MATCH(AC67,$C67:$AB67,0))</f>
        <v>p</v>
      </c>
      <c r="AE67" s="21" t="str">
        <f t="shared" si="6"/>
        <v>p</v>
      </c>
      <c r="AF67" s="22" t="str">
        <f t="shared" ref="AF67:AF130" si="9">IF($A67&lt;&gt;$A68,AE67,"")</f>
        <v/>
      </c>
      <c r="AG67" s="19" cm="1">
        <f t="array" ref="AG67">MAX(IF($C67:$AB67&lt;AC67,$C67:$AB67))</f>
        <v>0.101065165154395</v>
      </c>
      <c r="AH67" s="20" t="str">
        <f t="shared" ref="AH67:AH130" si="10">INDEX($C$1:$AB$1,MATCH(AG67,$C67:$AB67,0))</f>
        <v>u</v>
      </c>
      <c r="AI67" s="21" t="str">
        <f t="shared" ref="AI67:AI130" si="11">IF($A67&lt;&gt;$A66,AH67,AI66&amp;AH67)</f>
        <v>u</v>
      </c>
      <c r="AJ67" s="22" t="str">
        <f t="shared" ref="AJ67:AJ130" si="12">IF($A67&lt;&gt;$A68,AI67,"")</f>
        <v/>
      </c>
    </row>
    <row r="68" spans="1:36" x14ac:dyDescent="0.25">
      <c r="A68" s="2">
        <v>12</v>
      </c>
      <c r="B68" s="2">
        <v>2</v>
      </c>
      <c r="C68" s="2">
        <v>8.1590933543736296E-2</v>
      </c>
      <c r="D68" s="2">
        <v>4.4112900333536497E-3</v>
      </c>
      <c r="E68" s="2">
        <v>1.8147258185991399E-2</v>
      </c>
      <c r="F68" s="2">
        <v>5.5948068715704902E-3</v>
      </c>
      <c r="G68" s="2">
        <v>0.149302442348384</v>
      </c>
      <c r="H68" s="2">
        <v>2.00839221030735E-3</v>
      </c>
      <c r="I68" s="2">
        <v>1.86493562385683E-3</v>
      </c>
      <c r="J68" s="2">
        <v>3.9342968834056503E-2</v>
      </c>
      <c r="K68" s="2">
        <v>7.0365455653982695E-2</v>
      </c>
      <c r="L68" s="2">
        <v>3.5864146612631297E-5</v>
      </c>
      <c r="M68" s="2">
        <v>8.2487537209052103E-4</v>
      </c>
      <c r="N68" s="2">
        <v>3.4573037334576603E-2</v>
      </c>
      <c r="O68" s="2">
        <v>1.5887816949395599E-2</v>
      </c>
      <c r="P68" s="2">
        <v>0.16694760248179799</v>
      </c>
      <c r="Q68" s="2">
        <v>0.136606534447512</v>
      </c>
      <c r="R68" s="2">
        <v>1.98328730767851E-2</v>
      </c>
      <c r="S68" s="2">
        <v>2.9049958756231301E-3</v>
      </c>
      <c r="T68" s="2">
        <v>9.4681347057346696E-2</v>
      </c>
      <c r="U68" s="2">
        <v>1.4058745472151401E-2</v>
      </c>
      <c r="V68" s="2">
        <v>1.7573431840189301E-2</v>
      </c>
      <c r="W68" s="2">
        <v>5.9893124843094302E-2</v>
      </c>
      <c r="X68" s="2">
        <v>1.8972133558081899E-2</v>
      </c>
      <c r="Y68" s="2">
        <v>1.43456586450525E-3</v>
      </c>
      <c r="Z68" s="2">
        <v>1.2193809848294599E-2</v>
      </c>
      <c r="AA68" s="2">
        <v>3.0412796327511302E-2</v>
      </c>
      <c r="AB68" s="2">
        <v>5.3796219918947005E-4</v>
      </c>
      <c r="AC68" s="19">
        <f t="shared" si="7"/>
        <v>0.16694760248179799</v>
      </c>
      <c r="AD68" s="20" t="str">
        <f t="shared" si="8"/>
        <v>n</v>
      </c>
      <c r="AE68" s="21" t="str">
        <f t="shared" ref="AE68:AE131" si="13">IF(A68&lt;&gt;A67,AD68,AE67&amp;AD68)</f>
        <v>pn</v>
      </c>
      <c r="AF68" s="22" t="str">
        <f t="shared" si="9"/>
        <v/>
      </c>
      <c r="AG68" s="19" cm="1">
        <f t="array" ref="AG68">MAX(IF($C68:$AB68&lt;AC68,$C68:$AB68))</f>
        <v>0.149302442348384</v>
      </c>
      <c r="AH68" s="20" t="str">
        <f t="shared" si="10"/>
        <v>e</v>
      </c>
      <c r="AI68" s="21" t="str">
        <f t="shared" si="11"/>
        <v>ue</v>
      </c>
      <c r="AJ68" s="22" t="str">
        <f t="shared" si="12"/>
        <v/>
      </c>
    </row>
    <row r="69" spans="1:36" x14ac:dyDescent="0.25">
      <c r="A69" s="2">
        <v>12</v>
      </c>
      <c r="B69" s="2">
        <v>3</v>
      </c>
      <c r="C69" s="2">
        <v>6.8679840763189004E-2</v>
      </c>
      <c r="D69" s="2">
        <v>2.73643438654377E-2</v>
      </c>
      <c r="E69" s="2">
        <v>6.1937381200014303E-2</v>
      </c>
      <c r="F69" s="2">
        <v>3.4931678800702901E-2</v>
      </c>
      <c r="G69" s="2">
        <v>9.7012516587167794E-2</v>
      </c>
      <c r="H69" s="2">
        <v>1.4309794498439899E-2</v>
      </c>
      <c r="I69" s="2">
        <v>1.77168884266398E-2</v>
      </c>
      <c r="J69" s="2">
        <v>1.1619983502492499E-2</v>
      </c>
      <c r="K69" s="2">
        <v>4.6874439622709103E-2</v>
      </c>
      <c r="L69" s="2">
        <v>1.90079977046946E-3</v>
      </c>
      <c r="M69" s="2">
        <v>1.5062941577305099E-3</v>
      </c>
      <c r="N69" s="2">
        <v>5.4621095291037501E-2</v>
      </c>
      <c r="O69" s="2">
        <v>4.6300613276907002E-2</v>
      </c>
      <c r="P69" s="2">
        <v>0.101316214180683</v>
      </c>
      <c r="Q69" s="2">
        <v>5.5302514076677502E-2</v>
      </c>
      <c r="R69" s="2">
        <v>5.76695477531112E-2</v>
      </c>
      <c r="S69" s="2">
        <v>1.6856148907936699E-3</v>
      </c>
      <c r="T69" s="2">
        <v>8.2666857942115202E-2</v>
      </c>
      <c r="U69" s="2">
        <v>7.1584836638812099E-2</v>
      </c>
      <c r="V69" s="2">
        <v>8.7436789441595206E-2</v>
      </c>
      <c r="W69" s="2">
        <v>2.9193415342681901E-2</v>
      </c>
      <c r="X69" s="2">
        <v>1.08309722770146E-2</v>
      </c>
      <c r="Y69" s="2">
        <v>2.1159846501452402E-3</v>
      </c>
      <c r="Z69" s="2">
        <v>3.3353656349747098E-3</v>
      </c>
      <c r="AA69" s="2">
        <v>1.1333070329591501E-2</v>
      </c>
      <c r="AB69" s="2">
        <v>7.5314707886525798E-4</v>
      </c>
      <c r="AC69" s="19">
        <f t="shared" si="7"/>
        <v>0.101316214180683</v>
      </c>
      <c r="AD69" s="20" t="str">
        <f t="shared" si="8"/>
        <v>n</v>
      </c>
      <c r="AE69" s="21" t="str">
        <f t="shared" si="13"/>
        <v>pnn</v>
      </c>
      <c r="AF69" s="22" t="str">
        <f t="shared" si="9"/>
        <v/>
      </c>
      <c r="AG69" s="19" cm="1">
        <f t="array" ref="AG69">MAX(IF($C69:$AB69&lt;AC69,$C69:$AB69))</f>
        <v>9.7012516587167794E-2</v>
      </c>
      <c r="AH69" s="20" t="str">
        <f t="shared" si="10"/>
        <v>e</v>
      </c>
      <c r="AI69" s="21" t="str">
        <f t="shared" si="11"/>
        <v>uee</v>
      </c>
      <c r="AJ69" s="22" t="str">
        <f t="shared" si="12"/>
        <v/>
      </c>
    </row>
    <row r="70" spans="1:36" x14ac:dyDescent="0.25">
      <c r="A70" s="2">
        <v>12</v>
      </c>
      <c r="B70" s="2">
        <v>4</v>
      </c>
      <c r="C70" s="2">
        <v>7.4346375927984695E-2</v>
      </c>
      <c r="D70" s="2">
        <v>1.2911092780547201E-2</v>
      </c>
      <c r="E70" s="2">
        <v>5.5625291396191198E-2</v>
      </c>
      <c r="F70" s="2">
        <v>2.8655453143492399E-2</v>
      </c>
      <c r="G70" s="2">
        <v>0.129469569271599</v>
      </c>
      <c r="H70" s="2">
        <v>1.26241796076462E-2</v>
      </c>
      <c r="I70" s="2">
        <v>1.7143062080837702E-2</v>
      </c>
      <c r="J70" s="2">
        <v>3.0520388767349201E-2</v>
      </c>
      <c r="K70" s="2">
        <v>9.3210917046228803E-2</v>
      </c>
      <c r="L70" s="2">
        <v>1.86493562385683E-3</v>
      </c>
      <c r="M70" s="2">
        <v>5.2003012588315396E-3</v>
      </c>
      <c r="N70" s="2">
        <v>4.0096115912921802E-2</v>
      </c>
      <c r="O70" s="2">
        <v>2.8798909729942899E-2</v>
      </c>
      <c r="P70" s="2">
        <v>5.1178137216224898E-2</v>
      </c>
      <c r="Q70" s="2">
        <v>8.7867159200946801E-2</v>
      </c>
      <c r="R70" s="2">
        <v>4.1387225190976498E-2</v>
      </c>
      <c r="S70" s="2">
        <v>3.15604490191155E-3</v>
      </c>
      <c r="T70" s="2">
        <v>0.101387942473908</v>
      </c>
      <c r="U70" s="2">
        <v>4.2857655202094398E-2</v>
      </c>
      <c r="V70" s="2">
        <v>7.6318903991679496E-2</v>
      </c>
      <c r="W70" s="2">
        <v>3.6115195638919698E-2</v>
      </c>
      <c r="X70" s="2">
        <v>1.08309722770146E-2</v>
      </c>
      <c r="Y70" s="2">
        <v>2.0442563569199801E-3</v>
      </c>
      <c r="Z70" s="2">
        <v>4.3395617401283896E-3</v>
      </c>
      <c r="AA70" s="2">
        <v>9.9343686116988798E-3</v>
      </c>
      <c r="AB70" s="2">
        <v>2.1159846501452402E-3</v>
      </c>
      <c r="AC70" s="19">
        <f t="shared" si="7"/>
        <v>0.129469569271599</v>
      </c>
      <c r="AD70" s="20" t="str">
        <f t="shared" si="8"/>
        <v>e</v>
      </c>
      <c r="AE70" s="21" t="str">
        <f t="shared" si="13"/>
        <v>pnne</v>
      </c>
      <c r="AF70" s="22" t="str">
        <f t="shared" si="9"/>
        <v/>
      </c>
      <c r="AG70" s="19" cm="1">
        <f t="array" ref="AG70">MAX(IF($C70:$AB70&lt;AC70,$C70:$AB70))</f>
        <v>0.101387942473908</v>
      </c>
      <c r="AH70" s="20" t="str">
        <f t="shared" si="10"/>
        <v>r</v>
      </c>
      <c r="AI70" s="21" t="str">
        <f t="shared" si="11"/>
        <v>ueer</v>
      </c>
      <c r="AJ70" s="22" t="str">
        <f t="shared" si="12"/>
        <v/>
      </c>
    </row>
    <row r="71" spans="1:36" x14ac:dyDescent="0.25">
      <c r="A71" s="2">
        <v>12</v>
      </c>
      <c r="B71" s="2">
        <v>5</v>
      </c>
      <c r="C71" s="2">
        <v>6.9253667108991099E-2</v>
      </c>
      <c r="D71" s="2">
        <v>1.6784420614711401E-2</v>
      </c>
      <c r="E71" s="2">
        <v>4.5188824731915503E-2</v>
      </c>
      <c r="F71" s="2">
        <v>2.8906502169780801E-2</v>
      </c>
      <c r="G71" s="2">
        <v>9.2924003873327804E-2</v>
      </c>
      <c r="H71" s="2">
        <v>1.3664239859412499E-2</v>
      </c>
      <c r="I71" s="2">
        <v>2.1231574794677702E-2</v>
      </c>
      <c r="J71" s="2">
        <v>3.19549546318545E-2</v>
      </c>
      <c r="K71" s="2">
        <v>7.4669153247498399E-2</v>
      </c>
      <c r="L71" s="2">
        <v>1.1835168382168301E-3</v>
      </c>
      <c r="M71" s="2">
        <v>5.7382634580210104E-3</v>
      </c>
      <c r="N71" s="2">
        <v>5.2756159667180703E-2</v>
      </c>
      <c r="O71" s="2">
        <v>4.0275436645984999E-2</v>
      </c>
      <c r="P71" s="2">
        <v>5.5840476275867003E-2</v>
      </c>
      <c r="Q71" s="2">
        <v>0.116988846250403</v>
      </c>
      <c r="R71" s="2">
        <v>3.6940071011010198E-2</v>
      </c>
      <c r="S71" s="2">
        <v>2.2953053832084E-3</v>
      </c>
      <c r="T71" s="2">
        <v>0.109672560341426</v>
      </c>
      <c r="U71" s="2">
        <v>5.3401714306207999E-2</v>
      </c>
      <c r="V71" s="2">
        <v>6.8895025642864802E-2</v>
      </c>
      <c r="W71" s="2">
        <v>3.4321988308288198E-2</v>
      </c>
      <c r="X71" s="2">
        <v>8.1411612810673092E-3</v>
      </c>
      <c r="Y71" s="2">
        <v>2.8691317290105E-3</v>
      </c>
      <c r="Z71" s="2">
        <v>3.5505505146505001E-3</v>
      </c>
      <c r="AA71" s="2">
        <v>1.1189613743140901E-2</v>
      </c>
      <c r="AB71" s="2">
        <v>1.3628375712799901E-3</v>
      </c>
      <c r="AC71" s="19">
        <f t="shared" si="7"/>
        <v>0.116988846250403</v>
      </c>
      <c r="AD71" s="20" t="str">
        <f t="shared" si="8"/>
        <v>o</v>
      </c>
      <c r="AE71" s="21" t="str">
        <f t="shared" si="13"/>
        <v>pnneo</v>
      </c>
      <c r="AF71" s="22" t="str">
        <f t="shared" si="9"/>
        <v/>
      </c>
      <c r="AG71" s="19" cm="1">
        <f t="array" ref="AG71">MAX(IF($C71:$AB71&lt;AC71,$C71:$AB71))</f>
        <v>0.109672560341426</v>
      </c>
      <c r="AH71" s="20" t="str">
        <f t="shared" si="10"/>
        <v>r</v>
      </c>
      <c r="AI71" s="21" t="str">
        <f t="shared" si="11"/>
        <v>ueerr</v>
      </c>
      <c r="AJ71" s="22" t="str">
        <f t="shared" si="12"/>
        <v/>
      </c>
    </row>
    <row r="72" spans="1:36" x14ac:dyDescent="0.25">
      <c r="A72" s="2">
        <v>12</v>
      </c>
      <c r="B72" s="2">
        <v>6</v>
      </c>
      <c r="C72" s="2">
        <v>7.5350572033138399E-2</v>
      </c>
      <c r="D72" s="2">
        <v>2.27737330990209E-2</v>
      </c>
      <c r="E72" s="2">
        <v>6.0036581429544801E-2</v>
      </c>
      <c r="F72" s="2">
        <v>2.3634472617724001E-2</v>
      </c>
      <c r="G72" s="2">
        <v>8.8871355306100394E-2</v>
      </c>
      <c r="H72" s="2">
        <v>2.0406699422587202E-2</v>
      </c>
      <c r="I72" s="2">
        <v>3.0018290714772401E-2</v>
      </c>
      <c r="J72" s="2">
        <v>2.9767241688483999E-2</v>
      </c>
      <c r="K72" s="2">
        <v>0.101029301007782</v>
      </c>
      <c r="L72" s="2">
        <v>1.90079977046946E-3</v>
      </c>
      <c r="M72" s="2">
        <v>2.8691317290105E-3</v>
      </c>
      <c r="N72" s="2">
        <v>5.1572642828963802E-2</v>
      </c>
      <c r="O72" s="2">
        <v>3.6509701251658699E-2</v>
      </c>
      <c r="P72" s="2">
        <v>5.3509306746045898E-2</v>
      </c>
      <c r="Q72" s="2">
        <v>0.100347882222142</v>
      </c>
      <c r="R72" s="2">
        <v>4.0418893232435499E-2</v>
      </c>
      <c r="S72" s="2">
        <v>2.3670336764336601E-3</v>
      </c>
      <c r="T72" s="2">
        <v>7.5099523006849994E-2</v>
      </c>
      <c r="U72" s="2">
        <v>4.8380733780439597E-2</v>
      </c>
      <c r="V72" s="2">
        <v>7.1118602732847896E-2</v>
      </c>
      <c r="W72" s="2">
        <v>3.1668041458953397E-2</v>
      </c>
      <c r="X72" s="2">
        <v>1.28035003407093E-2</v>
      </c>
      <c r="Y72" s="2">
        <v>4.9851163791557497E-3</v>
      </c>
      <c r="Z72" s="2">
        <v>2.5104902628841899E-3</v>
      </c>
      <c r="AA72" s="2">
        <v>1.0687515690564101E-2</v>
      </c>
      <c r="AB72" s="2">
        <v>1.3628375712799901E-3</v>
      </c>
      <c r="AC72" s="19">
        <f t="shared" si="7"/>
        <v>0.101029301007782</v>
      </c>
      <c r="AD72" s="20" t="str">
        <f t="shared" si="8"/>
        <v>i</v>
      </c>
      <c r="AE72" s="21" t="str">
        <f t="shared" si="13"/>
        <v>pnneoi</v>
      </c>
      <c r="AF72" s="22" t="str">
        <f t="shared" si="9"/>
        <v/>
      </c>
      <c r="AG72" s="19" cm="1">
        <f t="array" ref="AG72">MAX(IF($C72:$AB72&lt;AC72,$C72:$AB72))</f>
        <v>0.100347882222142</v>
      </c>
      <c r="AH72" s="20" t="str">
        <f t="shared" si="10"/>
        <v>o</v>
      </c>
      <c r="AI72" s="21" t="str">
        <f t="shared" si="11"/>
        <v>ueerro</v>
      </c>
      <c r="AJ72" s="22" t="str">
        <f t="shared" si="12"/>
        <v/>
      </c>
    </row>
    <row r="73" spans="1:36" x14ac:dyDescent="0.25">
      <c r="A73" s="2">
        <v>12</v>
      </c>
      <c r="B73" s="2">
        <v>7</v>
      </c>
      <c r="C73" s="2">
        <v>8.4675250152422596E-2</v>
      </c>
      <c r="D73" s="2">
        <v>1.7896209159703001E-2</v>
      </c>
      <c r="E73" s="2">
        <v>4.4363949359824899E-2</v>
      </c>
      <c r="F73" s="2">
        <v>1.8721084531793501E-2</v>
      </c>
      <c r="G73" s="2">
        <v>9.9881648316178295E-2</v>
      </c>
      <c r="H73" s="2">
        <v>1.1117885449915699E-2</v>
      </c>
      <c r="I73" s="2">
        <v>2.3670336764336601E-2</v>
      </c>
      <c r="J73" s="2">
        <v>2.9121687049456599E-2</v>
      </c>
      <c r="K73" s="2">
        <v>9.7909120252483495E-2</v>
      </c>
      <c r="L73" s="2">
        <v>7.1728293225262695E-4</v>
      </c>
      <c r="M73" s="2">
        <v>2.3311695298210301E-3</v>
      </c>
      <c r="N73" s="2">
        <v>7.0078542481081599E-2</v>
      </c>
      <c r="O73" s="2">
        <v>2.99824265681598E-2</v>
      </c>
      <c r="P73" s="2">
        <v>5.6414302621669098E-2</v>
      </c>
      <c r="Q73" s="2">
        <v>8.9911415557866803E-2</v>
      </c>
      <c r="R73" s="2">
        <v>3.2887422443782899E-2</v>
      </c>
      <c r="S73" s="2">
        <v>9.3246781192841499E-4</v>
      </c>
      <c r="T73" s="2">
        <v>8.7687838467883597E-2</v>
      </c>
      <c r="U73" s="2">
        <v>5.0245669404296499E-2</v>
      </c>
      <c r="V73" s="2">
        <v>8.0801922318258404E-2</v>
      </c>
      <c r="W73" s="2">
        <v>4.0777534698561803E-2</v>
      </c>
      <c r="X73" s="2">
        <v>8.96603665315783E-3</v>
      </c>
      <c r="Y73" s="2">
        <v>2.7974034357852399E-3</v>
      </c>
      <c r="Z73" s="2">
        <v>2.00839221030735E-3</v>
      </c>
      <c r="AA73" s="2">
        <v>1.05081949575009E-2</v>
      </c>
      <c r="AB73" s="2">
        <v>5.5948068715704902E-3</v>
      </c>
      <c r="AC73" s="19">
        <f t="shared" si="7"/>
        <v>9.9881648316178295E-2</v>
      </c>
      <c r="AD73" s="20" t="str">
        <f t="shared" si="8"/>
        <v>e</v>
      </c>
      <c r="AE73" s="21" t="str">
        <f t="shared" si="13"/>
        <v>pnneoie</v>
      </c>
      <c r="AF73" s="22" t="str">
        <f t="shared" si="9"/>
        <v/>
      </c>
      <c r="AG73" s="19" cm="1">
        <f t="array" ref="AG73">MAX(IF($C73:$AB73&lt;AC73,$C73:$AB73))</f>
        <v>9.7909120252483495E-2</v>
      </c>
      <c r="AH73" s="20" t="str">
        <f t="shared" si="10"/>
        <v>i</v>
      </c>
      <c r="AI73" s="21" t="str">
        <f t="shared" si="11"/>
        <v>ueerroi</v>
      </c>
      <c r="AJ73" s="22" t="str">
        <f t="shared" si="12"/>
        <v/>
      </c>
    </row>
    <row r="74" spans="1:36" x14ac:dyDescent="0.25">
      <c r="A74" s="2">
        <v>12</v>
      </c>
      <c r="B74" s="2">
        <v>8</v>
      </c>
      <c r="C74" s="2">
        <v>0.13341462539898799</v>
      </c>
      <c r="D74" s="2">
        <v>8.7149876268694092E-3</v>
      </c>
      <c r="E74" s="2">
        <v>5.7454362873435402E-2</v>
      </c>
      <c r="F74" s="2">
        <v>2.4064842377075599E-2</v>
      </c>
      <c r="G74" s="2">
        <v>9.2386041674138303E-2</v>
      </c>
      <c r="H74" s="2">
        <v>7.0652368826883702E-3</v>
      </c>
      <c r="I74" s="2">
        <v>2.4817989455940801E-2</v>
      </c>
      <c r="J74" s="2">
        <v>3.0627981207187099E-2</v>
      </c>
      <c r="K74" s="2">
        <v>0.125058279238245</v>
      </c>
      <c r="L74" s="2">
        <v>1.7932073306315601E-4</v>
      </c>
      <c r="M74" s="2">
        <v>2.00839221030735E-3</v>
      </c>
      <c r="N74" s="2">
        <v>5.6306710181831199E-2</v>
      </c>
      <c r="O74" s="2">
        <v>2.8260947530753502E-2</v>
      </c>
      <c r="P74" s="2">
        <v>6.2582935839041703E-2</v>
      </c>
      <c r="Q74" s="2">
        <v>8.1268156224222607E-2</v>
      </c>
      <c r="R74" s="2">
        <v>2.6826381666248199E-2</v>
      </c>
      <c r="S74" s="2">
        <v>1.29110927805472E-3</v>
      </c>
      <c r="T74" s="2">
        <v>7.2086934691389007E-2</v>
      </c>
      <c r="U74" s="2">
        <v>4.1458953484201803E-2</v>
      </c>
      <c r="V74" s="2">
        <v>7.8363160348599498E-2</v>
      </c>
      <c r="W74" s="2">
        <v>2.5284223361905101E-2</v>
      </c>
      <c r="X74" s="2">
        <v>3.9809202740020803E-3</v>
      </c>
      <c r="Y74" s="2">
        <v>2.58221855610945E-3</v>
      </c>
      <c r="Z74" s="2">
        <v>1.43456586450525E-3</v>
      </c>
      <c r="AA74" s="2">
        <v>9.7550478786357208E-3</v>
      </c>
      <c r="AB74" s="2">
        <v>2.7256751425599802E-3</v>
      </c>
      <c r="AC74" s="19">
        <f t="shared" si="7"/>
        <v>0.13341462539898799</v>
      </c>
      <c r="AD74" s="20" t="str">
        <f t="shared" si="8"/>
        <v>a</v>
      </c>
      <c r="AE74" s="21" t="str">
        <f t="shared" si="13"/>
        <v>pnneoiea</v>
      </c>
      <c r="AF74" s="22" t="str">
        <f t="shared" si="9"/>
        <v/>
      </c>
      <c r="AG74" s="19" cm="1">
        <f t="array" ref="AG74">MAX(IF($C74:$AB74&lt;AC74,$C74:$AB74))</f>
        <v>0.125058279238245</v>
      </c>
      <c r="AH74" s="20" t="str">
        <f t="shared" si="10"/>
        <v>i</v>
      </c>
      <c r="AI74" s="21" t="str">
        <f t="shared" si="11"/>
        <v>ueerroii</v>
      </c>
      <c r="AJ74" s="22" t="str">
        <f t="shared" si="12"/>
        <v/>
      </c>
    </row>
    <row r="75" spans="1:36" x14ac:dyDescent="0.25">
      <c r="A75" s="2">
        <v>12</v>
      </c>
      <c r="B75" s="2">
        <v>9</v>
      </c>
      <c r="C75" s="2">
        <v>0.117957178208944</v>
      </c>
      <c r="D75" s="2">
        <v>6.2044973639852202E-3</v>
      </c>
      <c r="E75" s="2">
        <v>3.1560449019115498E-2</v>
      </c>
      <c r="F75" s="2">
        <v>1.9940465516622999E-2</v>
      </c>
      <c r="G75" s="2">
        <v>6.6205214646917407E-2</v>
      </c>
      <c r="H75" s="2">
        <v>7.2804217623641601E-3</v>
      </c>
      <c r="I75" s="2">
        <v>1.7035469640999799E-2</v>
      </c>
      <c r="J75" s="2">
        <v>2.6252555320446101E-2</v>
      </c>
      <c r="K75" s="2">
        <v>0.102356274432449</v>
      </c>
      <c r="L75" s="2">
        <v>0</v>
      </c>
      <c r="M75" s="2">
        <v>6.3479539504357396E-3</v>
      </c>
      <c r="N75" s="2">
        <v>6.4017501703546906E-2</v>
      </c>
      <c r="O75" s="2">
        <v>2.6611196786572401E-2</v>
      </c>
      <c r="P75" s="2">
        <v>0.11354588817559</v>
      </c>
      <c r="Q75" s="2">
        <v>4.5404009611591203E-2</v>
      </c>
      <c r="R75" s="2">
        <v>1.9115590144532499E-2</v>
      </c>
      <c r="S75" s="2">
        <v>1.7932073306315601E-4</v>
      </c>
      <c r="T75" s="2">
        <v>7.3413908116056303E-2</v>
      </c>
      <c r="U75" s="2">
        <v>5.4585231144424901E-2</v>
      </c>
      <c r="V75" s="2">
        <v>0.13093999928271699</v>
      </c>
      <c r="W75" s="2">
        <v>3.1668041458953397E-2</v>
      </c>
      <c r="X75" s="2">
        <v>1.2444858874582999E-2</v>
      </c>
      <c r="Y75" s="2">
        <v>3.9091919807768098E-3</v>
      </c>
      <c r="Z75" s="2">
        <v>1.2193809848294599E-3</v>
      </c>
      <c r="AA75" s="2">
        <v>1.0795108130401999E-2</v>
      </c>
      <c r="AB75" s="2">
        <v>1.1010293010077801E-2</v>
      </c>
      <c r="AC75" s="19">
        <f t="shared" si="7"/>
        <v>0.13093999928271699</v>
      </c>
      <c r="AD75" s="20" t="str">
        <f t="shared" si="8"/>
        <v>t</v>
      </c>
      <c r="AE75" s="21" t="str">
        <f t="shared" si="13"/>
        <v>pnneoieat</v>
      </c>
      <c r="AF75" s="22" t="str">
        <f t="shared" si="9"/>
        <v/>
      </c>
      <c r="AG75" s="19" cm="1">
        <f t="array" ref="AG75">MAX(IF($C75:$AB75&lt;AC75,$C75:$AB75))</f>
        <v>0.117957178208944</v>
      </c>
      <c r="AH75" s="20" t="str">
        <f t="shared" si="10"/>
        <v>a</v>
      </c>
      <c r="AI75" s="21" t="str">
        <f t="shared" si="11"/>
        <v>ueerroiia</v>
      </c>
      <c r="AJ75" s="22" t="str">
        <f t="shared" si="12"/>
        <v/>
      </c>
    </row>
    <row r="76" spans="1:36" x14ac:dyDescent="0.25">
      <c r="A76" s="2">
        <v>12</v>
      </c>
      <c r="B76" s="2">
        <v>10</v>
      </c>
      <c r="C76" s="2">
        <v>5.2074740881540703E-2</v>
      </c>
      <c r="D76" s="2">
        <v>4.3825987160635502E-2</v>
      </c>
      <c r="E76" s="2">
        <v>2.8978230463006099E-2</v>
      </c>
      <c r="F76" s="2">
        <v>1.6748556468098801E-2</v>
      </c>
      <c r="G76" s="2">
        <v>0.10386256859018</v>
      </c>
      <c r="H76" s="2">
        <v>2.5463544094968199E-3</v>
      </c>
      <c r="I76" s="2">
        <v>2.01556503962988E-2</v>
      </c>
      <c r="J76" s="2">
        <v>2.4853853602553499E-2</v>
      </c>
      <c r="K76" s="2">
        <v>0.27586701574436001</v>
      </c>
      <c r="L76" s="2">
        <v>3.5864146612631297E-5</v>
      </c>
      <c r="M76" s="2">
        <v>3.2277731951368201E-3</v>
      </c>
      <c r="N76" s="2">
        <v>4.2068643976616499E-2</v>
      </c>
      <c r="O76" s="2">
        <v>1.38435605924757E-2</v>
      </c>
      <c r="P76" s="2">
        <v>4.8560054513502801E-2</v>
      </c>
      <c r="Q76" s="2">
        <v>0.102822508338414</v>
      </c>
      <c r="R76" s="2">
        <v>1.08309722770146E-2</v>
      </c>
      <c r="S76" s="2">
        <v>7.8901122547788902E-4</v>
      </c>
      <c r="T76" s="2">
        <v>3.0879030233475501E-2</v>
      </c>
      <c r="U76" s="2">
        <v>5.1070544776386999E-2</v>
      </c>
      <c r="V76" s="2">
        <v>9.19198077681741E-2</v>
      </c>
      <c r="W76" s="2">
        <v>1.1835168382168301E-2</v>
      </c>
      <c r="X76" s="2">
        <v>3.2277731951368201E-3</v>
      </c>
      <c r="Y76" s="2">
        <v>1.57802245095577E-3</v>
      </c>
      <c r="Z76" s="2">
        <v>1.4704300111178801E-3</v>
      </c>
      <c r="AA76" s="2">
        <v>3.9091919807768098E-3</v>
      </c>
      <c r="AB76" s="2">
        <v>1.3018685220385099E-2</v>
      </c>
      <c r="AC76" s="19">
        <f t="shared" si="7"/>
        <v>0.27586701574436001</v>
      </c>
      <c r="AD76" s="20" t="str">
        <f t="shared" si="8"/>
        <v>i</v>
      </c>
      <c r="AE76" s="21" t="str">
        <f t="shared" si="13"/>
        <v>pnneoieati</v>
      </c>
      <c r="AF76" s="22" t="str">
        <f t="shared" si="9"/>
        <v/>
      </c>
      <c r="AG76" s="19" cm="1">
        <f t="array" ref="AG76">MAX(IF($C76:$AB76&lt;AC76,$C76:$AB76))</f>
        <v>0.10386256859018</v>
      </c>
      <c r="AH76" s="20" t="str">
        <f t="shared" si="10"/>
        <v>e</v>
      </c>
      <c r="AI76" s="21" t="str">
        <f t="shared" si="11"/>
        <v>ueerroiiae</v>
      </c>
      <c r="AJ76" s="22" t="str">
        <f t="shared" si="12"/>
        <v/>
      </c>
    </row>
    <row r="77" spans="1:36" x14ac:dyDescent="0.25">
      <c r="A77" s="2">
        <v>12</v>
      </c>
      <c r="B77" s="2">
        <v>11</v>
      </c>
      <c r="C77" s="2">
        <v>8.0371552558906795E-2</v>
      </c>
      <c r="D77" s="2">
        <v>5.0209805257683804E-4</v>
      </c>
      <c r="E77" s="2">
        <v>2.2092314313380899E-2</v>
      </c>
      <c r="F77" s="2">
        <v>5.9175841910841702E-3</v>
      </c>
      <c r="G77" s="2">
        <v>0.145680163540508</v>
      </c>
      <c r="H77" s="2">
        <v>1.3628375712799901E-3</v>
      </c>
      <c r="I77" s="2">
        <v>8.3563461607431E-3</v>
      </c>
      <c r="J77" s="2">
        <v>7.3162859089767902E-3</v>
      </c>
      <c r="K77" s="2">
        <v>0.11680952551734</v>
      </c>
      <c r="L77" s="2">
        <v>0</v>
      </c>
      <c r="M77" s="2">
        <v>4.2319693002904899E-3</v>
      </c>
      <c r="N77" s="2">
        <v>0.116379155757988</v>
      </c>
      <c r="O77" s="2">
        <v>9.9343686116988798E-3</v>
      </c>
      <c r="P77" s="2">
        <v>0.12685148656887699</v>
      </c>
      <c r="Q77" s="2">
        <v>6.2905713158555296E-2</v>
      </c>
      <c r="R77" s="2">
        <v>7.49560664203995E-3</v>
      </c>
      <c r="S77" s="2">
        <v>0</v>
      </c>
      <c r="T77" s="2">
        <v>4.0131980059534403E-2</v>
      </c>
      <c r="U77" s="2">
        <v>9.1130796542696194E-2</v>
      </c>
      <c r="V77" s="2">
        <v>6.5523795861277406E-2</v>
      </c>
      <c r="W77" s="2">
        <v>5.86737438582648E-2</v>
      </c>
      <c r="X77" s="2">
        <v>1.6927877201161901E-2</v>
      </c>
      <c r="Y77" s="2">
        <v>3.9450561273894402E-4</v>
      </c>
      <c r="Z77" s="2">
        <v>3.9450561273894402E-4</v>
      </c>
      <c r="AA77" s="2">
        <v>7.8901122547788902E-4</v>
      </c>
      <c r="AB77" s="2">
        <v>9.8267761718609896E-3</v>
      </c>
      <c r="AC77" s="19">
        <f t="shared" si="7"/>
        <v>0.145680163540508</v>
      </c>
      <c r="AD77" s="20" t="str">
        <f t="shared" si="8"/>
        <v>e</v>
      </c>
      <c r="AE77" s="21" t="str">
        <f t="shared" si="13"/>
        <v>pnneoieatie</v>
      </c>
      <c r="AF77" s="22" t="str">
        <f t="shared" si="9"/>
        <v/>
      </c>
      <c r="AG77" s="19" cm="1">
        <f t="array" ref="AG77">MAX(IF($C77:$AB77&lt;AC77,$C77:$AB77))</f>
        <v>0.12685148656887699</v>
      </c>
      <c r="AH77" s="20" t="str">
        <f t="shared" si="10"/>
        <v>n</v>
      </c>
      <c r="AI77" s="21" t="str">
        <f t="shared" si="11"/>
        <v>ueerroiiaen</v>
      </c>
      <c r="AJ77" s="22" t="str">
        <f t="shared" si="12"/>
        <v/>
      </c>
    </row>
    <row r="78" spans="1:36" x14ac:dyDescent="0.25">
      <c r="A78" s="2">
        <v>12</v>
      </c>
      <c r="B78" s="2">
        <v>12</v>
      </c>
      <c r="C78" s="2">
        <v>2.5750457267869301E-2</v>
      </c>
      <c r="D78" s="2">
        <v>7.1728293225262703E-5</v>
      </c>
      <c r="E78" s="2">
        <v>6.0251766309220599E-2</v>
      </c>
      <c r="F78" s="2">
        <v>7.8901122547788902E-2</v>
      </c>
      <c r="G78" s="2">
        <v>0.151418426998529</v>
      </c>
      <c r="H78" s="2">
        <v>2.3670336764336601E-3</v>
      </c>
      <c r="I78" s="2">
        <v>7.3772549582182698E-2</v>
      </c>
      <c r="J78" s="2">
        <v>6.92178029623785E-3</v>
      </c>
      <c r="K78" s="2">
        <v>1.25524513144209E-3</v>
      </c>
      <c r="L78" s="2">
        <v>0</v>
      </c>
      <c r="M78" s="2">
        <v>1.1117885449915699E-3</v>
      </c>
      <c r="N78" s="2">
        <v>6.14352831474375E-2</v>
      </c>
      <c r="O78" s="2">
        <v>2.4208298963526099E-2</v>
      </c>
      <c r="P78" s="2">
        <v>7.0508912240433194E-2</v>
      </c>
      <c r="Q78" s="2">
        <v>1.1476526916042E-3</v>
      </c>
      <c r="R78" s="2">
        <v>6.3120898038231104E-3</v>
      </c>
      <c r="S78" s="2">
        <v>0</v>
      </c>
      <c r="T78" s="2">
        <v>4.1279632751138599E-2</v>
      </c>
      <c r="U78" s="2">
        <v>0.20869346913890099</v>
      </c>
      <c r="V78" s="2">
        <v>4.6336477423519699E-2</v>
      </c>
      <c r="W78" s="2">
        <v>1.0759243983789399E-4</v>
      </c>
      <c r="X78" s="2">
        <v>3.5864146612631297E-5</v>
      </c>
      <c r="Y78" s="2">
        <v>1.7932073306315601E-4</v>
      </c>
      <c r="Z78" s="2">
        <v>1.2193809848294599E-3</v>
      </c>
      <c r="AA78" s="2">
        <v>0.13671412688734999</v>
      </c>
      <c r="AB78" s="2">
        <v>0</v>
      </c>
      <c r="AC78" s="19">
        <f t="shared" si="7"/>
        <v>0.20869346913890099</v>
      </c>
      <c r="AD78" s="20" t="str">
        <f t="shared" si="8"/>
        <v>s</v>
      </c>
      <c r="AE78" s="21" t="str">
        <f t="shared" si="13"/>
        <v>pnneoieaties</v>
      </c>
      <c r="AF78" s="22" t="str">
        <f t="shared" si="9"/>
        <v>pnneoieaties</v>
      </c>
      <c r="AG78" s="19" cm="1">
        <f t="array" ref="AG78">MAX(IF($C78:$AB78&lt;AC78,$C78:$AB78))</f>
        <v>0.151418426998529</v>
      </c>
      <c r="AH78" s="20" t="str">
        <f t="shared" si="10"/>
        <v>e</v>
      </c>
      <c r="AI78" s="21" t="str">
        <f t="shared" si="11"/>
        <v>ueerroiiaene</v>
      </c>
      <c r="AJ78" s="22" t="str">
        <f t="shared" si="12"/>
        <v>ueerroiiaene</v>
      </c>
    </row>
    <row r="79" spans="1:36" x14ac:dyDescent="0.25">
      <c r="A79" s="2">
        <v>13</v>
      </c>
      <c r="B79" s="2">
        <v>1</v>
      </c>
      <c r="C79" s="2">
        <v>6.2592702462177394E-2</v>
      </c>
      <c r="D79" s="2">
        <v>2.2347473548897399E-2</v>
      </c>
      <c r="E79" s="2">
        <v>8.3852467121526705E-2</v>
      </c>
      <c r="F79" s="2">
        <v>4.8106397705923003E-2</v>
      </c>
      <c r="G79" s="2">
        <v>3.7328191436764503E-2</v>
      </c>
      <c r="H79" s="2">
        <v>1.7106694353802E-2</v>
      </c>
      <c r="I79" s="2">
        <v>1.67111638485118E-2</v>
      </c>
      <c r="J79" s="2">
        <v>3.6537130426184103E-2</v>
      </c>
      <c r="K79" s="2">
        <v>5.95767823593394E-2</v>
      </c>
      <c r="L79" s="2">
        <v>1.87876990012854E-3</v>
      </c>
      <c r="M79" s="2">
        <v>2.81815485019282E-3</v>
      </c>
      <c r="N79" s="2">
        <v>1.49807178878671E-2</v>
      </c>
      <c r="O79" s="2">
        <v>5.1171759121922199E-2</v>
      </c>
      <c r="P79" s="2">
        <v>7.2777612973400505E-2</v>
      </c>
      <c r="Q79" s="2">
        <v>4.0096904973796102E-2</v>
      </c>
      <c r="R79" s="2">
        <v>0.12849797290616</v>
      </c>
      <c r="S79" s="2">
        <v>5.4385444477405304E-3</v>
      </c>
      <c r="T79" s="2">
        <v>4.2371205379214801E-2</v>
      </c>
      <c r="U79" s="2">
        <v>9.2603579551072804E-2</v>
      </c>
      <c r="V79" s="2">
        <v>3.8366459013151298E-2</v>
      </c>
      <c r="W79" s="2">
        <v>0.105754968851972</v>
      </c>
      <c r="X79" s="2">
        <v>1.06793236428359E-2</v>
      </c>
      <c r="Y79" s="2">
        <v>4.4497181845149798E-3</v>
      </c>
      <c r="Z79" s="2">
        <v>1.4337980816770399E-3</v>
      </c>
      <c r="AA79" s="2">
        <v>6.4273707109660798E-4</v>
      </c>
      <c r="AB79" s="2">
        <v>1.87876990012854E-3</v>
      </c>
      <c r="AC79" s="19">
        <f t="shared" si="7"/>
        <v>0.12849797290616</v>
      </c>
      <c r="AD79" s="20" t="str">
        <f t="shared" si="8"/>
        <v>p</v>
      </c>
      <c r="AE79" s="21" t="str">
        <f t="shared" si="13"/>
        <v>p</v>
      </c>
      <c r="AF79" s="22" t="str">
        <f t="shared" si="9"/>
        <v/>
      </c>
      <c r="AG79" s="19" cm="1">
        <f t="array" ref="AG79">MAX(IF($C79:$AB79&lt;AC79,$C79:$AB79))</f>
        <v>0.105754968851972</v>
      </c>
      <c r="AH79" s="20" t="str">
        <f t="shared" si="10"/>
        <v>u</v>
      </c>
      <c r="AI79" s="21" t="str">
        <f t="shared" si="11"/>
        <v>u</v>
      </c>
      <c r="AJ79" s="22" t="str">
        <f t="shared" si="12"/>
        <v/>
      </c>
    </row>
    <row r="80" spans="1:36" x14ac:dyDescent="0.25">
      <c r="A80" s="2">
        <v>13</v>
      </c>
      <c r="B80" s="2">
        <v>2</v>
      </c>
      <c r="C80" s="2">
        <v>7.42114110550776E-2</v>
      </c>
      <c r="D80" s="2">
        <v>3.3620092949668699E-3</v>
      </c>
      <c r="E80" s="2">
        <v>1.6315633343221499E-2</v>
      </c>
      <c r="F80" s="2">
        <v>5.0924552556115797E-3</v>
      </c>
      <c r="G80" s="2">
        <v>0.14946108968654201</v>
      </c>
      <c r="H80" s="2">
        <v>1.87876990012854E-3</v>
      </c>
      <c r="I80" s="2">
        <v>1.77988727380599E-3</v>
      </c>
      <c r="J80" s="2">
        <v>3.8712548205280299E-2</v>
      </c>
      <c r="K80" s="2">
        <v>6.1010580441016503E-2</v>
      </c>
      <c r="L80" s="2">
        <v>0</v>
      </c>
      <c r="M80" s="2">
        <v>4.9441313161277501E-4</v>
      </c>
      <c r="N80" s="2">
        <v>2.65994264807673E-2</v>
      </c>
      <c r="O80" s="2">
        <v>1.5722337585286201E-2</v>
      </c>
      <c r="P80" s="2">
        <v>0.17541777909621201</v>
      </c>
      <c r="Q80" s="2">
        <v>0.151784831405122</v>
      </c>
      <c r="R80" s="2">
        <v>1.83921684959952E-2</v>
      </c>
      <c r="S80" s="2">
        <v>2.52150697122515E-3</v>
      </c>
      <c r="T80" s="2">
        <v>9.7943241372490802E-2</v>
      </c>
      <c r="U80" s="2">
        <v>1.6216750716899E-2</v>
      </c>
      <c r="V80" s="2">
        <v>1.4486304756254301E-2</v>
      </c>
      <c r="W80" s="2">
        <v>6.2444378522693501E-2</v>
      </c>
      <c r="X80" s="2">
        <v>2.2347473548897399E-2</v>
      </c>
      <c r="Y80" s="2">
        <v>6.4273707109660798E-4</v>
      </c>
      <c r="Z80" s="2">
        <v>1.12726194007712E-2</v>
      </c>
      <c r="AA80" s="2">
        <v>3.1741323049540103E-2</v>
      </c>
      <c r="AB80" s="2">
        <v>1.4832393948383199E-4</v>
      </c>
      <c r="AC80" s="19">
        <f t="shared" si="7"/>
        <v>0.17541777909621201</v>
      </c>
      <c r="AD80" s="20" t="str">
        <f t="shared" si="8"/>
        <v>n</v>
      </c>
      <c r="AE80" s="21" t="str">
        <f t="shared" si="13"/>
        <v>pn</v>
      </c>
      <c r="AF80" s="22" t="str">
        <f t="shared" si="9"/>
        <v/>
      </c>
      <c r="AG80" s="19" cm="1">
        <f t="array" ref="AG80">MAX(IF($C80:$AB80&lt;AC80,$C80:$AB80))</f>
        <v>0.151784831405122</v>
      </c>
      <c r="AH80" s="20" t="str">
        <f t="shared" si="10"/>
        <v>o</v>
      </c>
      <c r="AI80" s="21" t="str">
        <f t="shared" si="11"/>
        <v>uo</v>
      </c>
      <c r="AJ80" s="22" t="str">
        <f t="shared" si="12"/>
        <v/>
      </c>
    </row>
    <row r="81" spans="1:36" x14ac:dyDescent="0.25">
      <c r="A81" s="2">
        <v>13</v>
      </c>
      <c r="B81" s="2">
        <v>3</v>
      </c>
      <c r="C81" s="2">
        <v>6.2345495896370999E-2</v>
      </c>
      <c r="D81" s="2">
        <v>2.6352219914960898E-2</v>
      </c>
      <c r="E81" s="2">
        <v>6.6696331454563398E-2</v>
      </c>
      <c r="F81" s="2">
        <v>3.3916740828636403E-2</v>
      </c>
      <c r="G81" s="2">
        <v>0.101206368041135</v>
      </c>
      <c r="H81" s="2">
        <v>1.41402155641253E-2</v>
      </c>
      <c r="I81" s="2">
        <v>1.6760605161672999E-2</v>
      </c>
      <c r="J81" s="2">
        <v>1.11242954612874E-2</v>
      </c>
      <c r="K81" s="2">
        <v>4.0492435479086299E-2</v>
      </c>
      <c r="L81" s="2">
        <v>1.73044596064471E-3</v>
      </c>
      <c r="M81" s="2">
        <v>1.0877088895481001E-3</v>
      </c>
      <c r="N81" s="2">
        <v>4.9836843666567703E-2</v>
      </c>
      <c r="O81" s="2">
        <v>4.50904776030851E-2</v>
      </c>
      <c r="P81" s="2">
        <v>0.11880747552654899</v>
      </c>
      <c r="Q81" s="2">
        <v>5.3099970335212097E-2</v>
      </c>
      <c r="R81" s="2">
        <v>6.6103035696628107E-2</v>
      </c>
      <c r="S81" s="2">
        <v>1.87876990012854E-3</v>
      </c>
      <c r="T81" s="2">
        <v>7.7721744289528299E-2</v>
      </c>
      <c r="U81" s="2">
        <v>6.7734599030950193E-2</v>
      </c>
      <c r="V81" s="2">
        <v>9.1318105408879593E-2</v>
      </c>
      <c r="W81" s="2">
        <v>2.4077919509542099E-2</v>
      </c>
      <c r="X81" s="2">
        <v>8.9983189953525104E-3</v>
      </c>
      <c r="Y81" s="2">
        <v>2.81815485019282E-3</v>
      </c>
      <c r="Z81" s="2">
        <v>3.2136853554830401E-3</v>
      </c>
      <c r="AA81" s="2">
        <v>1.30030653614159E-2</v>
      </c>
      <c r="AB81" s="2">
        <v>4.4497181845149799E-4</v>
      </c>
      <c r="AC81" s="19">
        <f t="shared" si="7"/>
        <v>0.11880747552654899</v>
      </c>
      <c r="AD81" s="20" t="str">
        <f t="shared" si="8"/>
        <v>n</v>
      </c>
      <c r="AE81" s="21" t="str">
        <f t="shared" si="13"/>
        <v>pnn</v>
      </c>
      <c r="AF81" s="22" t="str">
        <f t="shared" si="9"/>
        <v/>
      </c>
      <c r="AG81" s="19" cm="1">
        <f t="array" ref="AG81">MAX(IF($C81:$AB81&lt;AC81,$C81:$AB81))</f>
        <v>0.101206368041135</v>
      </c>
      <c r="AH81" s="20" t="str">
        <f t="shared" si="10"/>
        <v>e</v>
      </c>
      <c r="AI81" s="21" t="str">
        <f t="shared" si="11"/>
        <v>uoe</v>
      </c>
      <c r="AJ81" s="22" t="str">
        <f t="shared" si="12"/>
        <v/>
      </c>
    </row>
    <row r="82" spans="1:36" x14ac:dyDescent="0.25">
      <c r="A82" s="2">
        <v>13</v>
      </c>
      <c r="B82" s="2">
        <v>4</v>
      </c>
      <c r="C82" s="2">
        <v>7.1096608325917104E-2</v>
      </c>
      <c r="D82" s="2">
        <v>1.10748541481261E-2</v>
      </c>
      <c r="E82" s="2">
        <v>6.13566696331454E-2</v>
      </c>
      <c r="F82" s="2">
        <v>2.86759616335409E-2</v>
      </c>
      <c r="G82" s="2">
        <v>0.1354691980619</v>
      </c>
      <c r="H82" s="2">
        <v>1.2904182735093399E-2</v>
      </c>
      <c r="I82" s="2">
        <v>1.5030159201028299E-2</v>
      </c>
      <c r="J82" s="2">
        <v>3.0801938099475901E-2</v>
      </c>
      <c r="K82" s="2">
        <v>9.0131513893008997E-2</v>
      </c>
      <c r="L82" s="2">
        <v>1.4337980816770399E-3</v>
      </c>
      <c r="M82" s="2">
        <v>2.71927222387026E-3</v>
      </c>
      <c r="N82" s="2">
        <v>3.6487689113022803E-2</v>
      </c>
      <c r="O82" s="2">
        <v>3.0060318402056699E-2</v>
      </c>
      <c r="P82" s="2">
        <v>5.1616730940373702E-2</v>
      </c>
      <c r="Q82" s="2">
        <v>8.5731237021655193E-2</v>
      </c>
      <c r="R82" s="2">
        <v>4.15801443686344E-2</v>
      </c>
      <c r="S82" s="2">
        <v>2.1754177790962101E-3</v>
      </c>
      <c r="T82" s="2">
        <v>0.105705527538811</v>
      </c>
      <c r="U82" s="2">
        <v>4.1827350934440802E-2</v>
      </c>
      <c r="V82" s="2">
        <v>7.6732918026302693E-2</v>
      </c>
      <c r="W82" s="2">
        <v>3.6240482547216402E-2</v>
      </c>
      <c r="X82" s="2">
        <v>1.10748541481261E-2</v>
      </c>
      <c r="Y82" s="2">
        <v>1.4832393948383199E-3</v>
      </c>
      <c r="Z82" s="2">
        <v>4.8946900029664701E-3</v>
      </c>
      <c r="AA82" s="2">
        <v>1.15692672797389E-2</v>
      </c>
      <c r="AB82" s="2">
        <v>2.1259764659349299E-3</v>
      </c>
      <c r="AC82" s="19">
        <f t="shared" si="7"/>
        <v>0.1354691980619</v>
      </c>
      <c r="AD82" s="20" t="str">
        <f t="shared" si="8"/>
        <v>e</v>
      </c>
      <c r="AE82" s="21" t="str">
        <f t="shared" si="13"/>
        <v>pnne</v>
      </c>
      <c r="AF82" s="22" t="str">
        <f t="shared" si="9"/>
        <v/>
      </c>
      <c r="AG82" s="19" cm="1">
        <f t="array" ref="AG82">MAX(IF($C82:$AB82&lt;AC82,$C82:$AB82))</f>
        <v>0.105705527538811</v>
      </c>
      <c r="AH82" s="20" t="str">
        <f t="shared" si="10"/>
        <v>r</v>
      </c>
      <c r="AI82" s="21" t="str">
        <f t="shared" si="11"/>
        <v>uoer</v>
      </c>
      <c r="AJ82" s="22" t="str">
        <f t="shared" si="12"/>
        <v/>
      </c>
    </row>
    <row r="83" spans="1:36" x14ac:dyDescent="0.25">
      <c r="A83" s="2">
        <v>13</v>
      </c>
      <c r="B83" s="2">
        <v>5</v>
      </c>
      <c r="C83" s="2">
        <v>7.3568673983980995E-2</v>
      </c>
      <c r="D83" s="2">
        <v>1.5030159201028299E-2</v>
      </c>
      <c r="E83" s="2">
        <v>4.6178186492633201E-2</v>
      </c>
      <c r="F83" s="2">
        <v>2.61050133491545E-2</v>
      </c>
      <c r="G83" s="2">
        <v>9.8833185009393795E-2</v>
      </c>
      <c r="H83" s="2">
        <v>1.1223178087609999E-2</v>
      </c>
      <c r="I83" s="2">
        <v>1.49807178878671E-2</v>
      </c>
      <c r="J83" s="2">
        <v>3.6586571739345299E-2</v>
      </c>
      <c r="K83" s="2">
        <v>8.3407495303075202E-2</v>
      </c>
      <c r="L83" s="2">
        <v>1.0382675763868201E-3</v>
      </c>
      <c r="M83" s="2">
        <v>4.2519529318698701E-3</v>
      </c>
      <c r="N83" s="2">
        <v>4.2173440126569699E-2</v>
      </c>
      <c r="O83" s="2">
        <v>3.6982102244635599E-2</v>
      </c>
      <c r="P83" s="2">
        <v>5.87362800355977E-2</v>
      </c>
      <c r="Q83" s="2">
        <v>0.116038761989518</v>
      </c>
      <c r="R83" s="2">
        <v>3.9404726589538197E-2</v>
      </c>
      <c r="S83" s="2">
        <v>3.1148027291604801E-3</v>
      </c>
      <c r="T83" s="2">
        <v>0.12202116088203301</v>
      </c>
      <c r="U83" s="2">
        <v>5.0182932858696697E-2</v>
      </c>
      <c r="V83" s="2">
        <v>6.2839909027983698E-2</v>
      </c>
      <c r="W83" s="2">
        <v>3.4163947394442798E-2</v>
      </c>
      <c r="X83" s="2">
        <v>7.0701077820626897E-3</v>
      </c>
      <c r="Y83" s="2">
        <v>1.2360328290319301E-3</v>
      </c>
      <c r="Z83" s="2">
        <v>4.0541876792247597E-3</v>
      </c>
      <c r="AA83" s="2">
        <v>9.5916147532878401E-3</v>
      </c>
      <c r="AB83" s="2">
        <v>1.1865915158706601E-3</v>
      </c>
      <c r="AC83" s="19">
        <f t="shared" si="7"/>
        <v>0.12202116088203301</v>
      </c>
      <c r="AD83" s="20" t="str">
        <f t="shared" si="8"/>
        <v>r</v>
      </c>
      <c r="AE83" s="21" t="str">
        <f t="shared" si="13"/>
        <v>pnner</v>
      </c>
      <c r="AF83" s="22" t="str">
        <f t="shared" si="9"/>
        <v/>
      </c>
      <c r="AG83" s="19" cm="1">
        <f t="array" ref="AG83">MAX(IF($C83:$AB83&lt;AC83,$C83:$AB83))</f>
        <v>0.116038761989518</v>
      </c>
      <c r="AH83" s="20" t="str">
        <f t="shared" si="10"/>
        <v>o</v>
      </c>
      <c r="AI83" s="21" t="str">
        <f t="shared" si="11"/>
        <v>uoero</v>
      </c>
      <c r="AJ83" s="22" t="str">
        <f t="shared" si="12"/>
        <v/>
      </c>
    </row>
    <row r="84" spans="1:36" x14ac:dyDescent="0.25">
      <c r="A84" s="2">
        <v>13</v>
      </c>
      <c r="B84" s="2">
        <v>6</v>
      </c>
      <c r="C84" s="2">
        <v>7.0799960446949403E-2</v>
      </c>
      <c r="D84" s="2">
        <v>1.76011074854148E-2</v>
      </c>
      <c r="E84" s="2">
        <v>5.9477899733016898E-2</v>
      </c>
      <c r="F84" s="2">
        <v>2.3632947691090599E-2</v>
      </c>
      <c r="G84" s="2">
        <v>8.2566992979333495E-2</v>
      </c>
      <c r="H84" s="2">
        <v>2.06170275882527E-2</v>
      </c>
      <c r="I84" s="2">
        <v>2.8082665875605602E-2</v>
      </c>
      <c r="J84" s="2">
        <v>2.5857806783348099E-2</v>
      </c>
      <c r="K84" s="2">
        <v>7.3222584791851994E-2</v>
      </c>
      <c r="L84" s="2">
        <v>1.87876990012854E-3</v>
      </c>
      <c r="M84" s="2">
        <v>1.5821220211608799E-3</v>
      </c>
      <c r="N84" s="2">
        <v>5.8439632156629999E-2</v>
      </c>
      <c r="O84" s="2">
        <v>4.1876792247601997E-2</v>
      </c>
      <c r="P84" s="2">
        <v>6.4619796301789698E-2</v>
      </c>
      <c r="Q84" s="2">
        <v>0.110847424107584</v>
      </c>
      <c r="R84" s="2">
        <v>4.2025116187085897E-2</v>
      </c>
      <c r="S84" s="2">
        <v>1.2360328290319301E-3</v>
      </c>
      <c r="T84" s="2">
        <v>7.7375655097399298E-2</v>
      </c>
      <c r="U84" s="2">
        <v>6.13072283199841E-2</v>
      </c>
      <c r="V84" s="2">
        <v>7.7425096410560598E-2</v>
      </c>
      <c r="W84" s="2">
        <v>2.70938396123801E-2</v>
      </c>
      <c r="X84" s="2">
        <v>1.34974784930287E-2</v>
      </c>
      <c r="Y84" s="2">
        <v>2.9664787896766498E-3</v>
      </c>
      <c r="Z84" s="2">
        <v>3.2136853554830401E-3</v>
      </c>
      <c r="AA84" s="2">
        <v>1.13220607139325E-2</v>
      </c>
      <c r="AB84" s="2">
        <v>1.4337980816770399E-3</v>
      </c>
      <c r="AC84" s="19">
        <f t="shared" si="7"/>
        <v>0.110847424107584</v>
      </c>
      <c r="AD84" s="20" t="str">
        <f t="shared" si="8"/>
        <v>o</v>
      </c>
      <c r="AE84" s="21" t="str">
        <f t="shared" si="13"/>
        <v>pnnero</v>
      </c>
      <c r="AF84" s="22" t="str">
        <f t="shared" si="9"/>
        <v/>
      </c>
      <c r="AG84" s="19" cm="1">
        <f t="array" ref="AG84">MAX(IF($C84:$AB84&lt;AC84,$C84:$AB84))</f>
        <v>8.2566992979333495E-2</v>
      </c>
      <c r="AH84" s="20" t="str">
        <f t="shared" si="10"/>
        <v>e</v>
      </c>
      <c r="AI84" s="21" t="str">
        <f t="shared" si="11"/>
        <v>uoeroe</v>
      </c>
      <c r="AJ84" s="22" t="str">
        <f t="shared" si="12"/>
        <v/>
      </c>
    </row>
    <row r="85" spans="1:36" x14ac:dyDescent="0.25">
      <c r="A85" s="2">
        <v>13</v>
      </c>
      <c r="B85" s="2">
        <v>7</v>
      </c>
      <c r="C85" s="2">
        <v>8.6967269850687201E-2</v>
      </c>
      <c r="D85" s="2">
        <v>2.1259764659349301E-2</v>
      </c>
      <c r="E85" s="2">
        <v>5.0034608919212797E-2</v>
      </c>
      <c r="F85" s="2">
        <v>1.96282013250271E-2</v>
      </c>
      <c r="G85" s="2">
        <v>9.5520617027588198E-2</v>
      </c>
      <c r="H85" s="2">
        <v>1.24592109166419E-2</v>
      </c>
      <c r="I85" s="2">
        <v>2.9516463957282701E-2</v>
      </c>
      <c r="J85" s="2">
        <v>2.39790368832196E-2</v>
      </c>
      <c r="K85" s="2">
        <v>0.135320874122416</v>
      </c>
      <c r="L85" s="2">
        <v>1.0877088895481001E-3</v>
      </c>
      <c r="M85" s="2">
        <v>1.68100464748343E-3</v>
      </c>
      <c r="N85" s="2">
        <v>4.8304162958568098E-2</v>
      </c>
      <c r="O85" s="2">
        <v>2.70443982992188E-2</v>
      </c>
      <c r="P85" s="2">
        <v>4.4052210026698298E-2</v>
      </c>
      <c r="Q85" s="2">
        <v>0.106249381983585</v>
      </c>
      <c r="R85" s="2">
        <v>3.5795510728764898E-2</v>
      </c>
      <c r="S85" s="2">
        <v>1.2854741421932101E-3</v>
      </c>
      <c r="T85" s="2">
        <v>7.7474537723721898E-2</v>
      </c>
      <c r="U85" s="2">
        <v>3.8663106892118999E-2</v>
      </c>
      <c r="V85" s="2">
        <v>7.6980124592109095E-2</v>
      </c>
      <c r="W85" s="2">
        <v>4.15801443686344E-2</v>
      </c>
      <c r="X85" s="2">
        <v>7.8611687926431299E-3</v>
      </c>
      <c r="Y85" s="2">
        <v>1.5821220211608799E-3</v>
      </c>
      <c r="Z85" s="2">
        <v>2.62038959754771E-3</v>
      </c>
      <c r="AA85" s="2">
        <v>1.0580441016513301E-2</v>
      </c>
      <c r="AB85" s="2">
        <v>2.4720656580638702E-3</v>
      </c>
      <c r="AC85" s="19">
        <f t="shared" si="7"/>
        <v>0.135320874122416</v>
      </c>
      <c r="AD85" s="20" t="str">
        <f t="shared" si="8"/>
        <v>i</v>
      </c>
      <c r="AE85" s="21" t="str">
        <f t="shared" si="13"/>
        <v>pnneroi</v>
      </c>
      <c r="AF85" s="22" t="str">
        <f t="shared" si="9"/>
        <v/>
      </c>
      <c r="AG85" s="19" cm="1">
        <f t="array" ref="AG85">MAX(IF($C85:$AB85&lt;AC85,$C85:$AB85))</f>
        <v>0.106249381983585</v>
      </c>
      <c r="AH85" s="20" t="str">
        <f t="shared" si="10"/>
        <v>o</v>
      </c>
      <c r="AI85" s="21" t="str">
        <f t="shared" si="11"/>
        <v>uoeroeo</v>
      </c>
      <c r="AJ85" s="22" t="str">
        <f t="shared" si="12"/>
        <v/>
      </c>
    </row>
    <row r="86" spans="1:36" x14ac:dyDescent="0.25">
      <c r="A86" s="2">
        <v>13</v>
      </c>
      <c r="B86" s="2">
        <v>8</v>
      </c>
      <c r="C86" s="2">
        <v>7.7079007218431694E-2</v>
      </c>
      <c r="D86" s="2">
        <v>2.2446356175219999E-2</v>
      </c>
      <c r="E86" s="2">
        <v>4.8254721645406902E-2</v>
      </c>
      <c r="F86" s="2">
        <v>1.6513398595866698E-2</v>
      </c>
      <c r="G86" s="2">
        <v>8.7115593790171003E-2</v>
      </c>
      <c r="H86" s="2">
        <v>1.3546919806189999E-2</v>
      </c>
      <c r="I86" s="2">
        <v>2.3089093246316601E-2</v>
      </c>
      <c r="J86" s="2">
        <v>2.82804311282507E-2</v>
      </c>
      <c r="K86" s="2">
        <v>9.7300504301394197E-2</v>
      </c>
      <c r="L86" s="2">
        <v>2.4720656580638702E-4</v>
      </c>
      <c r="M86" s="2">
        <v>2.6698309107089798E-3</v>
      </c>
      <c r="N86" s="2">
        <v>7.6831800652625307E-2</v>
      </c>
      <c r="O86" s="2">
        <v>3.0950262038959699E-2</v>
      </c>
      <c r="P86" s="2">
        <v>6.7042420646692302E-2</v>
      </c>
      <c r="Q86" s="2">
        <v>6.9366162365272405E-2</v>
      </c>
      <c r="R86" s="2">
        <v>3.0604172846830799E-2</v>
      </c>
      <c r="S86" s="2">
        <v>8.8994363690299597E-4</v>
      </c>
      <c r="T86" s="2">
        <v>8.8944922377138302E-2</v>
      </c>
      <c r="U86" s="2">
        <v>5.1863937506180097E-2</v>
      </c>
      <c r="V86" s="2">
        <v>8.8005537427073996E-2</v>
      </c>
      <c r="W86" s="2">
        <v>4.0195787600118597E-2</v>
      </c>
      <c r="X86" s="2">
        <v>1.2113121724512999E-2</v>
      </c>
      <c r="Y86" s="2">
        <v>1.77988727380599E-3</v>
      </c>
      <c r="Z86" s="2">
        <v>2.2248590922574899E-3</v>
      </c>
      <c r="AA86" s="2">
        <v>1.02343518243844E-2</v>
      </c>
      <c r="AB86" s="2">
        <v>1.24097696034806E-2</v>
      </c>
      <c r="AC86" s="19">
        <f t="shared" si="7"/>
        <v>9.7300504301394197E-2</v>
      </c>
      <c r="AD86" s="20" t="str">
        <f t="shared" si="8"/>
        <v>i</v>
      </c>
      <c r="AE86" s="21" t="str">
        <f t="shared" si="13"/>
        <v>pnneroii</v>
      </c>
      <c r="AF86" s="22" t="str">
        <f t="shared" si="9"/>
        <v/>
      </c>
      <c r="AG86" s="19" cm="1">
        <f t="array" ref="AG86">MAX(IF($C86:$AB86&lt;AC86,$C86:$AB86))</f>
        <v>8.8944922377138302E-2</v>
      </c>
      <c r="AH86" s="20" t="str">
        <f t="shared" si="10"/>
        <v>r</v>
      </c>
      <c r="AI86" s="21" t="str">
        <f t="shared" si="11"/>
        <v>uoeroeor</v>
      </c>
      <c r="AJ86" s="22" t="str">
        <f t="shared" si="12"/>
        <v/>
      </c>
    </row>
    <row r="87" spans="1:36" x14ac:dyDescent="0.25">
      <c r="A87" s="2">
        <v>13</v>
      </c>
      <c r="B87" s="2">
        <v>9</v>
      </c>
      <c r="C87" s="2">
        <v>0.15816276080292599</v>
      </c>
      <c r="D87" s="2">
        <v>7.3667556610303503E-3</v>
      </c>
      <c r="E87" s="2">
        <v>5.8785721348759E-2</v>
      </c>
      <c r="F87" s="2">
        <v>2.3336299812122999E-2</v>
      </c>
      <c r="G87" s="2">
        <v>9.3097992682685607E-2</v>
      </c>
      <c r="H87" s="2">
        <v>5.0430139424503103E-3</v>
      </c>
      <c r="I87" s="2">
        <v>2.5017304459606399E-2</v>
      </c>
      <c r="J87" s="2">
        <v>3.0653614159992001E-2</v>
      </c>
      <c r="K87" s="2">
        <v>0.13952338574112499</v>
      </c>
      <c r="L87" s="2">
        <v>9.8882626322555105E-5</v>
      </c>
      <c r="M87" s="2">
        <v>1.1865915158706601E-3</v>
      </c>
      <c r="N87" s="2">
        <v>4.96885197270839E-2</v>
      </c>
      <c r="O87" s="2">
        <v>2.3929595570058301E-2</v>
      </c>
      <c r="P87" s="2">
        <v>5.8785721348759E-2</v>
      </c>
      <c r="Q87" s="2">
        <v>7.8463363986947393E-2</v>
      </c>
      <c r="R87" s="2">
        <v>2.3731830317413199E-2</v>
      </c>
      <c r="S87" s="2">
        <v>1.2854741421932101E-3</v>
      </c>
      <c r="T87" s="2">
        <v>6.1999406704241998E-2</v>
      </c>
      <c r="U87" s="2">
        <v>4.7562543261148997E-2</v>
      </c>
      <c r="V87" s="2">
        <v>7.3914763176109899E-2</v>
      </c>
      <c r="W87" s="2">
        <v>2.0023731830317401E-2</v>
      </c>
      <c r="X87" s="2">
        <v>4.4497181845149798E-3</v>
      </c>
      <c r="Y87" s="2">
        <v>1.5821220211608799E-3</v>
      </c>
      <c r="Z87" s="2">
        <v>9.8882626322555111E-4</v>
      </c>
      <c r="AA87" s="2">
        <v>9.2949668743201805E-3</v>
      </c>
      <c r="AB87" s="2">
        <v>2.0270938396123798E-3</v>
      </c>
      <c r="AC87" s="19">
        <f t="shared" si="7"/>
        <v>0.15816276080292599</v>
      </c>
      <c r="AD87" s="20" t="str">
        <f t="shared" si="8"/>
        <v>a</v>
      </c>
      <c r="AE87" s="21" t="str">
        <f t="shared" si="13"/>
        <v>pnneroiia</v>
      </c>
      <c r="AF87" s="22" t="str">
        <f t="shared" si="9"/>
        <v/>
      </c>
      <c r="AG87" s="19" cm="1">
        <f t="array" ref="AG87">MAX(IF($C87:$AB87&lt;AC87,$C87:$AB87))</f>
        <v>0.13952338574112499</v>
      </c>
      <c r="AH87" s="20" t="str">
        <f t="shared" si="10"/>
        <v>i</v>
      </c>
      <c r="AI87" s="21" t="str">
        <f t="shared" si="11"/>
        <v>uoeroeori</v>
      </c>
      <c r="AJ87" s="22" t="str">
        <f t="shared" si="12"/>
        <v/>
      </c>
    </row>
    <row r="88" spans="1:36" x14ac:dyDescent="0.25">
      <c r="A88" s="2">
        <v>13</v>
      </c>
      <c r="B88" s="2">
        <v>10</v>
      </c>
      <c r="C88" s="2">
        <v>0.119351329971324</v>
      </c>
      <c r="D88" s="2">
        <v>4.7958073766439201E-3</v>
      </c>
      <c r="E88" s="2">
        <v>2.6896074359734901E-2</v>
      </c>
      <c r="F88" s="2">
        <v>1.45357460694156E-2</v>
      </c>
      <c r="G88" s="2">
        <v>6.4125383170177006E-2</v>
      </c>
      <c r="H88" s="2">
        <v>5.8835162661920303E-3</v>
      </c>
      <c r="I88" s="2">
        <v>1.39424503114802E-2</v>
      </c>
      <c r="J88" s="2">
        <v>2.1951943043607199E-2</v>
      </c>
      <c r="K88" s="2">
        <v>0.103876198951844</v>
      </c>
      <c r="L88" s="2">
        <v>4.9441313161277498E-5</v>
      </c>
      <c r="M88" s="2">
        <v>2.9170374765153701E-3</v>
      </c>
      <c r="N88" s="2">
        <v>7.0651636507465601E-2</v>
      </c>
      <c r="O88" s="2">
        <v>2.5660041530703E-2</v>
      </c>
      <c r="P88" s="2">
        <v>0.12780579452190199</v>
      </c>
      <c r="Q88" s="2">
        <v>4.4398299218827202E-2</v>
      </c>
      <c r="R88" s="2">
        <v>1.8738257688124101E-2</v>
      </c>
      <c r="S88" s="2">
        <v>4.9441313161277498E-5</v>
      </c>
      <c r="T88" s="2">
        <v>5.9972312864629597E-2</v>
      </c>
      <c r="U88" s="2">
        <v>5.4434885790566601E-2</v>
      </c>
      <c r="V88" s="2">
        <v>0.14901611786808999</v>
      </c>
      <c r="W88" s="2">
        <v>3.3768416889152497E-2</v>
      </c>
      <c r="X88" s="2">
        <v>1.28053001087708E-2</v>
      </c>
      <c r="Y88" s="2">
        <v>1.9776525264511E-3</v>
      </c>
      <c r="Z88" s="2">
        <v>1.1865915158706601E-3</v>
      </c>
      <c r="AA88" s="2">
        <v>9.5421734401265699E-3</v>
      </c>
      <c r="AB88" s="2">
        <v>1.1668149906061499E-2</v>
      </c>
      <c r="AC88" s="19">
        <f t="shared" si="7"/>
        <v>0.14901611786808999</v>
      </c>
      <c r="AD88" s="20" t="str">
        <f t="shared" si="8"/>
        <v>t</v>
      </c>
      <c r="AE88" s="21" t="str">
        <f t="shared" si="13"/>
        <v>pnneroiiat</v>
      </c>
      <c r="AF88" s="22" t="str">
        <f t="shared" si="9"/>
        <v/>
      </c>
      <c r="AG88" s="19" cm="1">
        <f t="array" ref="AG88">MAX(IF($C88:$AB88&lt;AC88,$C88:$AB88))</f>
        <v>0.12780579452190199</v>
      </c>
      <c r="AH88" s="20" t="str">
        <f t="shared" si="10"/>
        <v>n</v>
      </c>
      <c r="AI88" s="21" t="str">
        <f t="shared" si="11"/>
        <v>uoeroeorin</v>
      </c>
      <c r="AJ88" s="22" t="str">
        <f t="shared" si="12"/>
        <v/>
      </c>
    </row>
    <row r="89" spans="1:36" x14ac:dyDescent="0.25">
      <c r="A89" s="2">
        <v>13</v>
      </c>
      <c r="B89" s="2">
        <v>11</v>
      </c>
      <c r="C89" s="2">
        <v>4.4398299218827202E-2</v>
      </c>
      <c r="D89" s="2">
        <v>4.42499752793434E-2</v>
      </c>
      <c r="E89" s="2">
        <v>3.4065064768120198E-2</v>
      </c>
      <c r="F89" s="2">
        <v>1.4733511322060701E-2</v>
      </c>
      <c r="G89" s="2">
        <v>0.113171165826164</v>
      </c>
      <c r="H89" s="2">
        <v>2.1754177790962101E-3</v>
      </c>
      <c r="I89" s="2">
        <v>1.7205576980124499E-2</v>
      </c>
      <c r="J89" s="2">
        <v>2.31385345594779E-2</v>
      </c>
      <c r="K89" s="2">
        <v>0.29654899634134202</v>
      </c>
      <c r="L89" s="2">
        <v>0</v>
      </c>
      <c r="M89" s="2">
        <v>1.5821220211608799E-3</v>
      </c>
      <c r="N89" s="2">
        <v>4.96885197270839E-2</v>
      </c>
      <c r="O89" s="2">
        <v>1.2656976169287E-2</v>
      </c>
      <c r="P89" s="2">
        <v>4.9045782655987302E-2</v>
      </c>
      <c r="Q89" s="2">
        <v>9.9822011272619401E-2</v>
      </c>
      <c r="R89" s="2">
        <v>8.5039058637397403E-3</v>
      </c>
      <c r="S89" s="2">
        <v>2.9664787896766502E-4</v>
      </c>
      <c r="T89" s="2">
        <v>2.82804311282507E-2</v>
      </c>
      <c r="U89" s="2">
        <v>4.9886284979729002E-2</v>
      </c>
      <c r="V89" s="2">
        <v>8.3506377929397801E-2</v>
      </c>
      <c r="W89" s="2">
        <v>6.9217838425788504E-3</v>
      </c>
      <c r="X89" s="2">
        <v>2.1754177790962101E-3</v>
      </c>
      <c r="Y89" s="2">
        <v>8.8994363690299597E-4</v>
      </c>
      <c r="Z89" s="2">
        <v>2.52150697122515E-3</v>
      </c>
      <c r="AA89" s="2">
        <v>2.71927222387026E-3</v>
      </c>
      <c r="AB89" s="2">
        <v>1.18164738455453E-2</v>
      </c>
      <c r="AC89" s="19">
        <f t="shared" si="7"/>
        <v>0.29654899634134202</v>
      </c>
      <c r="AD89" s="20" t="str">
        <f t="shared" si="8"/>
        <v>i</v>
      </c>
      <c r="AE89" s="21" t="str">
        <f t="shared" si="13"/>
        <v>pnneroiiati</v>
      </c>
      <c r="AF89" s="22" t="str">
        <f t="shared" si="9"/>
        <v/>
      </c>
      <c r="AG89" s="19" cm="1">
        <f t="array" ref="AG89">MAX(IF($C89:$AB89&lt;AC89,$C89:$AB89))</f>
        <v>0.113171165826164</v>
      </c>
      <c r="AH89" s="20" t="str">
        <f t="shared" si="10"/>
        <v>e</v>
      </c>
      <c r="AI89" s="21" t="str">
        <f t="shared" si="11"/>
        <v>uoeroeorine</v>
      </c>
      <c r="AJ89" s="22" t="str">
        <f t="shared" si="12"/>
        <v/>
      </c>
    </row>
    <row r="90" spans="1:36" x14ac:dyDescent="0.25">
      <c r="A90" s="2">
        <v>13</v>
      </c>
      <c r="B90" s="2">
        <v>12</v>
      </c>
      <c r="C90" s="2">
        <v>9.2010283793137498E-2</v>
      </c>
      <c r="D90" s="2">
        <v>3.4608919212894199E-4</v>
      </c>
      <c r="E90" s="2">
        <v>2.2199149609413601E-2</v>
      </c>
      <c r="F90" s="2">
        <v>5.1913378819341402E-3</v>
      </c>
      <c r="G90" s="2">
        <v>0.112083456936616</v>
      </c>
      <c r="H90" s="2">
        <v>4.4497181845149799E-4</v>
      </c>
      <c r="I90" s="2">
        <v>6.2296054583209698E-3</v>
      </c>
      <c r="J90" s="2">
        <v>6.5756946504499101E-3</v>
      </c>
      <c r="K90" s="2">
        <v>0.119549095223969</v>
      </c>
      <c r="L90" s="2">
        <v>0</v>
      </c>
      <c r="M90" s="2">
        <v>3.0159201028379301E-3</v>
      </c>
      <c r="N90" s="2">
        <v>0.129684564422031</v>
      </c>
      <c r="O90" s="2">
        <v>7.8117274794818501E-3</v>
      </c>
      <c r="P90" s="2">
        <v>0.107782062691585</v>
      </c>
      <c r="Q90" s="2">
        <v>7.58429743893997E-2</v>
      </c>
      <c r="R90" s="2">
        <v>6.5756946504499101E-3</v>
      </c>
      <c r="S90" s="2">
        <v>0</v>
      </c>
      <c r="T90" s="2">
        <v>3.0159201028379299E-2</v>
      </c>
      <c r="U90" s="2">
        <v>0.11336893107880899</v>
      </c>
      <c r="V90" s="2">
        <v>6.9069514486304703E-2</v>
      </c>
      <c r="W90" s="2">
        <v>6.1554434885790502E-2</v>
      </c>
      <c r="X90" s="2">
        <v>1.93315534460595E-2</v>
      </c>
      <c r="Y90" s="2">
        <v>9.8882626322555105E-5</v>
      </c>
      <c r="Z90" s="2">
        <v>1.4832393948383199E-4</v>
      </c>
      <c r="AA90" s="2">
        <v>6.9217838425788495E-4</v>
      </c>
      <c r="AB90" s="2">
        <v>1.02343518243844E-2</v>
      </c>
      <c r="AC90" s="19">
        <f t="shared" si="7"/>
        <v>0.129684564422031</v>
      </c>
      <c r="AD90" s="20" t="str">
        <f t="shared" si="8"/>
        <v>l</v>
      </c>
      <c r="AE90" s="21" t="str">
        <f t="shared" si="13"/>
        <v>pnneroiiatil</v>
      </c>
      <c r="AF90" s="22" t="str">
        <f t="shared" si="9"/>
        <v/>
      </c>
      <c r="AG90" s="19" cm="1">
        <f t="array" ref="AG90">MAX(IF($C90:$AB90&lt;AC90,$C90:$AB90))</f>
        <v>0.119549095223969</v>
      </c>
      <c r="AH90" s="20" t="str">
        <f t="shared" si="10"/>
        <v>i</v>
      </c>
      <c r="AI90" s="21" t="str">
        <f t="shared" si="11"/>
        <v>uoeroeorinei</v>
      </c>
      <c r="AJ90" s="22" t="str">
        <f t="shared" si="12"/>
        <v/>
      </c>
    </row>
    <row r="91" spans="1:36" x14ac:dyDescent="0.25">
      <c r="A91" s="2">
        <v>13</v>
      </c>
      <c r="B91" s="2">
        <v>13</v>
      </c>
      <c r="C91" s="2">
        <v>2.2841886680510199E-2</v>
      </c>
      <c r="D91" s="2">
        <v>0</v>
      </c>
      <c r="E91" s="2">
        <v>6.0071195490952203E-2</v>
      </c>
      <c r="F91" s="2">
        <v>6.2098289330564597E-2</v>
      </c>
      <c r="G91" s="2">
        <v>0.13977059230693101</v>
      </c>
      <c r="H91" s="2">
        <v>9.8882626322555111E-4</v>
      </c>
      <c r="I91" s="2">
        <v>5.8489073469791299E-2</v>
      </c>
      <c r="J91" s="2">
        <v>5.5374270740630796E-3</v>
      </c>
      <c r="K91" s="2">
        <v>9.8882626322555111E-4</v>
      </c>
      <c r="L91" s="2">
        <v>0</v>
      </c>
      <c r="M91" s="2">
        <v>3.9553050529021999E-4</v>
      </c>
      <c r="N91" s="2">
        <v>7.2233758528626499E-2</v>
      </c>
      <c r="O91" s="2">
        <v>2.8379313754573299E-2</v>
      </c>
      <c r="P91" s="2">
        <v>8.6176208840106794E-2</v>
      </c>
      <c r="Q91" s="2">
        <v>7.9106101058044095E-4</v>
      </c>
      <c r="R91" s="2">
        <v>7.7622861663205703E-3</v>
      </c>
      <c r="S91" s="2">
        <v>0</v>
      </c>
      <c r="T91" s="2">
        <v>3.0060318402056699E-2</v>
      </c>
      <c r="U91" s="2">
        <v>0.21976663700187801</v>
      </c>
      <c r="V91" s="2">
        <v>4.4892712350439998E-2</v>
      </c>
      <c r="W91" s="2">
        <v>0</v>
      </c>
      <c r="X91" s="2">
        <v>0</v>
      </c>
      <c r="Y91" s="2">
        <v>1.4832393948383199E-4</v>
      </c>
      <c r="Z91" s="2">
        <v>8.4050232374171803E-4</v>
      </c>
      <c r="AA91" s="2">
        <v>0.15776723029763601</v>
      </c>
      <c r="AB91" s="2">
        <v>0</v>
      </c>
      <c r="AC91" s="19">
        <f t="shared" si="7"/>
        <v>0.21976663700187801</v>
      </c>
      <c r="AD91" s="20" t="str">
        <f t="shared" si="8"/>
        <v>s</v>
      </c>
      <c r="AE91" s="21" t="str">
        <f t="shared" si="13"/>
        <v>pnneroiiatils</v>
      </c>
      <c r="AF91" s="22" t="str">
        <f t="shared" si="9"/>
        <v>pnneroiiatils</v>
      </c>
      <c r="AG91" s="19" cm="1">
        <f t="array" ref="AG91">MAX(IF($C91:$AB91&lt;AC91,$C91:$AB91))</f>
        <v>0.15776723029763601</v>
      </c>
      <c r="AH91" s="20" t="str">
        <f t="shared" si="10"/>
        <v>y</v>
      </c>
      <c r="AI91" s="21" t="str">
        <f t="shared" si="11"/>
        <v>uoeroeorineiy</v>
      </c>
      <c r="AJ91" s="22" t="str">
        <f t="shared" si="12"/>
        <v>uoeroeorineiy</v>
      </c>
    </row>
    <row r="92" spans="1:36" x14ac:dyDescent="0.25">
      <c r="A92" s="2">
        <v>14</v>
      </c>
      <c r="B92" s="2">
        <v>1</v>
      </c>
      <c r="C92" s="2">
        <v>6.81670164266589E-2</v>
      </c>
      <c r="D92" s="2">
        <v>1.6571387220493498E-2</v>
      </c>
      <c r="E92" s="2">
        <v>7.4028511469715605E-2</v>
      </c>
      <c r="F92" s="2">
        <v>4.6385411390114997E-2</v>
      </c>
      <c r="G92" s="2">
        <v>3.4011144076995403E-2</v>
      </c>
      <c r="H92" s="2">
        <v>1.3242636949128E-2</v>
      </c>
      <c r="I92" s="2">
        <v>1.3315001085462E-2</v>
      </c>
      <c r="J92" s="2">
        <v>3.7556986757362999E-2</v>
      </c>
      <c r="K92" s="2">
        <v>5.6878211158549803E-2</v>
      </c>
      <c r="L92" s="2">
        <v>1.0854620450104901E-3</v>
      </c>
      <c r="M92" s="2">
        <v>1.80910340835082E-3</v>
      </c>
      <c r="N92" s="2">
        <v>1.30979086764599E-2</v>
      </c>
      <c r="O92" s="2">
        <v>4.66748679354511E-2</v>
      </c>
      <c r="P92" s="2">
        <v>9.0455170417541003E-2</v>
      </c>
      <c r="Q92" s="2">
        <v>4.4069759027425999E-2</v>
      </c>
      <c r="R92" s="2">
        <v>0.126637238584557</v>
      </c>
      <c r="S92" s="2">
        <v>6.2233157247268203E-3</v>
      </c>
      <c r="T92" s="2">
        <v>4.1247557710398702E-2</v>
      </c>
      <c r="U92" s="2">
        <v>0.101599247412982</v>
      </c>
      <c r="V92" s="2">
        <v>3.9293726029379798E-2</v>
      </c>
      <c r="W92" s="2">
        <v>0.112453867863087</v>
      </c>
      <c r="X92" s="2">
        <v>9.0455170417540996E-3</v>
      </c>
      <c r="Y92" s="2">
        <v>3.4011144076995401E-3</v>
      </c>
      <c r="Z92" s="2">
        <v>1.2301903176785501E-3</v>
      </c>
      <c r="AA92" s="2">
        <v>2.1709240900209801E-4</v>
      </c>
      <c r="AB92" s="2">
        <v>1.3025544540125899E-3</v>
      </c>
      <c r="AC92" s="19">
        <f t="shared" si="7"/>
        <v>0.126637238584557</v>
      </c>
      <c r="AD92" s="20" t="str">
        <f t="shared" si="8"/>
        <v>p</v>
      </c>
      <c r="AE92" s="21" t="str">
        <f t="shared" si="13"/>
        <v>p</v>
      </c>
      <c r="AF92" s="22" t="str">
        <f t="shared" si="9"/>
        <v/>
      </c>
      <c r="AG92" s="19" cm="1">
        <f t="array" ref="AG92">MAX(IF($C92:$AB92&lt;AC92,$C92:$AB92))</f>
        <v>0.112453867863087</v>
      </c>
      <c r="AH92" s="20" t="str">
        <f t="shared" si="10"/>
        <v>u</v>
      </c>
      <c r="AI92" s="21" t="str">
        <f t="shared" si="11"/>
        <v>u</v>
      </c>
      <c r="AJ92" s="22" t="str">
        <f t="shared" si="12"/>
        <v/>
      </c>
    </row>
    <row r="93" spans="1:36" x14ac:dyDescent="0.25">
      <c r="A93" s="2">
        <v>14</v>
      </c>
      <c r="B93" s="2">
        <v>2</v>
      </c>
      <c r="C93" s="2">
        <v>6.2377885519936303E-2</v>
      </c>
      <c r="D93" s="2">
        <v>3.1840219986974398E-3</v>
      </c>
      <c r="E93" s="2">
        <v>1.63542948114914E-2</v>
      </c>
      <c r="F93" s="2">
        <v>4.8483971343801996E-3</v>
      </c>
      <c r="G93" s="2">
        <v>0.14045878862435701</v>
      </c>
      <c r="H93" s="2">
        <v>1.66437513568275E-3</v>
      </c>
      <c r="I93" s="2">
        <v>1.5920109993487199E-3</v>
      </c>
      <c r="J93" s="2">
        <v>3.8570084666039499E-2</v>
      </c>
      <c r="K93" s="2">
        <v>6.3390983428612699E-2</v>
      </c>
      <c r="L93" s="2">
        <v>0</v>
      </c>
      <c r="M93" s="2">
        <v>3.61820681670164E-4</v>
      </c>
      <c r="N93" s="2">
        <v>2.9018018669947101E-2</v>
      </c>
      <c r="O93" s="2">
        <v>1.2229539040451501E-2</v>
      </c>
      <c r="P93" s="2">
        <v>0.181633982198422</v>
      </c>
      <c r="Q93" s="2">
        <v>0.15543816484550199</v>
      </c>
      <c r="R93" s="2">
        <v>1.54135610391489E-2</v>
      </c>
      <c r="S93" s="2">
        <v>2.4603806353571101E-3</v>
      </c>
      <c r="T93" s="2">
        <v>9.1251175917215405E-2</v>
      </c>
      <c r="U93" s="2">
        <v>2.0840871264201401E-2</v>
      </c>
      <c r="V93" s="2">
        <v>1.40386424488023E-2</v>
      </c>
      <c r="W93" s="2">
        <v>7.1495766698024404E-2</v>
      </c>
      <c r="X93" s="2">
        <v>2.77878283522686E-2</v>
      </c>
      <c r="Y93" s="2">
        <v>4.3418481800419699E-4</v>
      </c>
      <c r="Z93" s="2">
        <v>1.02033432230986E-2</v>
      </c>
      <c r="AA93" s="2">
        <v>3.4517693031333598E-2</v>
      </c>
      <c r="AB93" s="2">
        <v>4.3418481800419699E-4</v>
      </c>
      <c r="AC93" s="19">
        <f t="shared" si="7"/>
        <v>0.181633982198422</v>
      </c>
      <c r="AD93" s="20" t="str">
        <f t="shared" si="8"/>
        <v>n</v>
      </c>
      <c r="AE93" s="21" t="str">
        <f t="shared" si="13"/>
        <v>pn</v>
      </c>
      <c r="AF93" s="22" t="str">
        <f t="shared" si="9"/>
        <v/>
      </c>
      <c r="AG93" s="19" cm="1">
        <f t="array" ref="AG93">MAX(IF($C93:$AB93&lt;AC93,$C93:$AB93))</f>
        <v>0.15543816484550199</v>
      </c>
      <c r="AH93" s="20" t="str">
        <f t="shared" si="10"/>
        <v>o</v>
      </c>
      <c r="AI93" s="21" t="str">
        <f t="shared" si="11"/>
        <v>uo</v>
      </c>
      <c r="AJ93" s="22" t="str">
        <f t="shared" si="12"/>
        <v/>
      </c>
    </row>
    <row r="94" spans="1:36" x14ac:dyDescent="0.25">
      <c r="A94" s="2">
        <v>14</v>
      </c>
      <c r="B94" s="2">
        <v>3</v>
      </c>
      <c r="C94" s="2">
        <v>6.0713510384253502E-2</v>
      </c>
      <c r="D94" s="2">
        <v>2.5978724943917699E-2</v>
      </c>
      <c r="E94" s="2">
        <v>5.9555684202909E-2</v>
      </c>
      <c r="F94" s="2">
        <v>3.6760981257688598E-2</v>
      </c>
      <c r="G94" s="2">
        <v>0.11129604168174199</v>
      </c>
      <c r="H94" s="2">
        <v>1.2157174904117499E-2</v>
      </c>
      <c r="I94" s="2">
        <v>1.5196468630146899E-2</v>
      </c>
      <c r="J94" s="2">
        <v>1.1867718358781301E-2</v>
      </c>
      <c r="K94" s="2">
        <v>3.8570084666039499E-2</v>
      </c>
      <c r="L94" s="2">
        <v>6.5127722700629497E-4</v>
      </c>
      <c r="M94" s="2">
        <v>8.6836963600839397E-4</v>
      </c>
      <c r="N94" s="2">
        <v>4.9497069252478397E-2</v>
      </c>
      <c r="O94" s="2">
        <v>4.4648672118098198E-2</v>
      </c>
      <c r="P94" s="2">
        <v>0.129097619219914</v>
      </c>
      <c r="Q94" s="2">
        <v>4.8411607207467899E-2</v>
      </c>
      <c r="R94" s="2">
        <v>6.9324842608003395E-2</v>
      </c>
      <c r="S94" s="2">
        <v>1.8814675446848499E-3</v>
      </c>
      <c r="T94" s="2">
        <v>7.0989217743686203E-2</v>
      </c>
      <c r="U94" s="2">
        <v>6.7081554381648395E-2</v>
      </c>
      <c r="V94" s="2">
        <v>9.8559953686952695E-2</v>
      </c>
      <c r="W94" s="2">
        <v>2.2649974672552201E-2</v>
      </c>
      <c r="X94" s="2">
        <v>8.1771474057457105E-3</v>
      </c>
      <c r="Y94" s="2">
        <v>1.5920109993487199E-3</v>
      </c>
      <c r="Z94" s="2">
        <v>2.3156523626890499E-3</v>
      </c>
      <c r="AA94" s="2">
        <v>1.1940082495115399E-2</v>
      </c>
      <c r="AB94" s="2">
        <v>2.1709240900209801E-4</v>
      </c>
      <c r="AC94" s="19">
        <f t="shared" si="7"/>
        <v>0.129097619219914</v>
      </c>
      <c r="AD94" s="20" t="str">
        <f t="shared" si="8"/>
        <v>n</v>
      </c>
      <c r="AE94" s="21" t="str">
        <f t="shared" si="13"/>
        <v>pnn</v>
      </c>
      <c r="AF94" s="22" t="str">
        <f t="shared" si="9"/>
        <v/>
      </c>
      <c r="AG94" s="19" cm="1">
        <f t="array" ref="AG94">MAX(IF($C94:$AB94&lt;AC94,$C94:$AB94))</f>
        <v>0.11129604168174199</v>
      </c>
      <c r="AH94" s="20" t="str">
        <f t="shared" si="10"/>
        <v>e</v>
      </c>
      <c r="AI94" s="21" t="str">
        <f t="shared" si="11"/>
        <v>uoe</v>
      </c>
      <c r="AJ94" s="22" t="str">
        <f t="shared" si="12"/>
        <v/>
      </c>
    </row>
    <row r="95" spans="1:36" x14ac:dyDescent="0.25">
      <c r="A95" s="2">
        <v>14</v>
      </c>
      <c r="B95" s="2">
        <v>4</v>
      </c>
      <c r="C95" s="2">
        <v>6.1364787611259797E-2</v>
      </c>
      <c r="D95" s="2">
        <v>7.0193212244011802E-3</v>
      </c>
      <c r="E95" s="2">
        <v>6.7226282654316502E-2</v>
      </c>
      <c r="F95" s="2">
        <v>2.9524567624285399E-2</v>
      </c>
      <c r="G95" s="2">
        <v>0.143498082350387</v>
      </c>
      <c r="H95" s="2">
        <v>1.34597293581301E-2</v>
      </c>
      <c r="I95" s="2">
        <v>1.3315001085462E-2</v>
      </c>
      <c r="J95" s="2">
        <v>2.8945654533613099E-2</v>
      </c>
      <c r="K95" s="2">
        <v>9.6461393733265705E-2</v>
      </c>
      <c r="L95" s="2">
        <v>1.0130979086764599E-3</v>
      </c>
      <c r="M95" s="2">
        <v>2.0261958173529199E-3</v>
      </c>
      <c r="N95" s="2">
        <v>3.0682393805629898E-2</v>
      </c>
      <c r="O95" s="2">
        <v>2.58339966712497E-2</v>
      </c>
      <c r="P95" s="2">
        <v>5.33323684781822E-2</v>
      </c>
      <c r="Q95" s="2">
        <v>8.0179463058108399E-2</v>
      </c>
      <c r="R95" s="2">
        <v>4.6023590708444799E-2</v>
      </c>
      <c r="S95" s="2">
        <v>2.67747304435921E-3</v>
      </c>
      <c r="T95" s="2">
        <v>0.119545553223822</v>
      </c>
      <c r="U95" s="2">
        <v>3.7339894348360901E-2</v>
      </c>
      <c r="V95" s="2">
        <v>7.6778348650408806E-2</v>
      </c>
      <c r="W95" s="2">
        <v>3.6182068167016398E-2</v>
      </c>
      <c r="X95" s="2">
        <v>9.4797018597582994E-3</v>
      </c>
      <c r="Y95" s="2">
        <v>1.2301903176785501E-3</v>
      </c>
      <c r="Z95" s="2">
        <v>4.48657645271003E-3</v>
      </c>
      <c r="AA95" s="2">
        <v>1.04927997684347E-2</v>
      </c>
      <c r="AB95" s="2">
        <v>1.8814675446848499E-3</v>
      </c>
      <c r="AC95" s="19">
        <f t="shared" si="7"/>
        <v>0.143498082350387</v>
      </c>
      <c r="AD95" s="20" t="str">
        <f t="shared" si="8"/>
        <v>e</v>
      </c>
      <c r="AE95" s="21" t="str">
        <f t="shared" si="13"/>
        <v>pnne</v>
      </c>
      <c r="AF95" s="22" t="str">
        <f t="shared" si="9"/>
        <v/>
      </c>
      <c r="AG95" s="19" cm="1">
        <f t="array" ref="AG95">MAX(IF($C95:$AB95&lt;AC95,$C95:$AB95))</f>
        <v>0.119545553223822</v>
      </c>
      <c r="AH95" s="20" t="str">
        <f t="shared" si="10"/>
        <v>r</v>
      </c>
      <c r="AI95" s="21" t="str">
        <f t="shared" si="11"/>
        <v>uoer</v>
      </c>
      <c r="AJ95" s="22" t="str">
        <f t="shared" si="12"/>
        <v/>
      </c>
    </row>
    <row r="96" spans="1:36" x14ac:dyDescent="0.25">
      <c r="A96" s="2">
        <v>14</v>
      </c>
      <c r="B96" s="2">
        <v>5</v>
      </c>
      <c r="C96" s="2">
        <v>7.5403430060062199E-2</v>
      </c>
      <c r="D96" s="2">
        <v>1.3315001085462E-2</v>
      </c>
      <c r="E96" s="2">
        <v>4.1609378392068803E-2</v>
      </c>
      <c r="F96" s="2">
        <v>3.0899486214632E-2</v>
      </c>
      <c r="G96" s="2">
        <v>9.5593024097257395E-2</v>
      </c>
      <c r="H96" s="2">
        <v>1.04927997684347E-2</v>
      </c>
      <c r="I96" s="2">
        <v>1.5558289311817E-2</v>
      </c>
      <c r="J96" s="2">
        <v>3.7195166075692801E-2</v>
      </c>
      <c r="K96" s="2">
        <v>6.8094652290324895E-2</v>
      </c>
      <c r="L96" s="2">
        <v>1.3025544540125899E-3</v>
      </c>
      <c r="M96" s="2">
        <v>2.1709240900209801E-3</v>
      </c>
      <c r="N96" s="2">
        <v>3.7122801939358803E-2</v>
      </c>
      <c r="O96" s="2">
        <v>4.2477748028077203E-2</v>
      </c>
      <c r="P96" s="2">
        <v>5.8759678703234598E-2</v>
      </c>
      <c r="Q96" s="2">
        <v>0.128229249583906</v>
      </c>
      <c r="R96" s="2">
        <v>4.13199218467327E-2</v>
      </c>
      <c r="S96" s="2">
        <v>4.0523916347058398E-3</v>
      </c>
      <c r="T96" s="2">
        <v>0.12649251031188899</v>
      </c>
      <c r="U96" s="2">
        <v>4.6964324480787301E-2</v>
      </c>
      <c r="V96" s="2">
        <v>6.6068456472971895E-2</v>
      </c>
      <c r="W96" s="2">
        <v>3.2853317895650901E-2</v>
      </c>
      <c r="X96" s="2">
        <v>6.5127722700629503E-3</v>
      </c>
      <c r="Y96" s="2">
        <v>1.2301903176785501E-3</v>
      </c>
      <c r="Z96" s="2">
        <v>4.8483971343801996E-3</v>
      </c>
      <c r="AA96" s="2">
        <v>1.02757073594326E-2</v>
      </c>
      <c r="AB96" s="2">
        <v>1.15782618134452E-3</v>
      </c>
      <c r="AC96" s="19">
        <f t="shared" si="7"/>
        <v>0.128229249583906</v>
      </c>
      <c r="AD96" s="20" t="str">
        <f t="shared" si="8"/>
        <v>o</v>
      </c>
      <c r="AE96" s="21" t="str">
        <f t="shared" si="13"/>
        <v>pnneo</v>
      </c>
      <c r="AF96" s="22" t="str">
        <f t="shared" si="9"/>
        <v/>
      </c>
      <c r="AG96" s="19" cm="1">
        <f t="array" ref="AG96">MAX(IF($C96:$AB96&lt;AC96,$C96:$AB96))</f>
        <v>0.12649251031188899</v>
      </c>
      <c r="AH96" s="20" t="str">
        <f t="shared" si="10"/>
        <v>r</v>
      </c>
      <c r="AI96" s="21" t="str">
        <f t="shared" si="11"/>
        <v>uoerr</v>
      </c>
      <c r="AJ96" s="22" t="str">
        <f t="shared" si="12"/>
        <v/>
      </c>
    </row>
    <row r="97" spans="1:36" x14ac:dyDescent="0.25">
      <c r="A97" s="2">
        <v>14</v>
      </c>
      <c r="B97" s="2">
        <v>6</v>
      </c>
      <c r="C97" s="2">
        <v>7.2074679788696694E-2</v>
      </c>
      <c r="D97" s="2">
        <v>1.5051740357478799E-2</v>
      </c>
      <c r="E97" s="2">
        <v>6.8818293653665194E-2</v>
      </c>
      <c r="F97" s="2">
        <v>2.12750560822056E-2</v>
      </c>
      <c r="G97" s="2">
        <v>8.5534409146826806E-2</v>
      </c>
      <c r="H97" s="2">
        <v>1.6281930675157302E-2</v>
      </c>
      <c r="I97" s="2">
        <v>2.5037991171575302E-2</v>
      </c>
      <c r="J97" s="2">
        <v>2.9669295896953399E-2</v>
      </c>
      <c r="K97" s="2">
        <v>8.3870034011143998E-2</v>
      </c>
      <c r="L97" s="2">
        <v>1.3025544540125899E-3</v>
      </c>
      <c r="M97" s="2">
        <v>1.7367392720167799E-3</v>
      </c>
      <c r="N97" s="2">
        <v>4.5878862435776803E-2</v>
      </c>
      <c r="O97" s="2">
        <v>4.13199218467327E-2</v>
      </c>
      <c r="P97" s="2">
        <v>6.4621173746291297E-2</v>
      </c>
      <c r="Q97" s="2">
        <v>0.110500036182068</v>
      </c>
      <c r="R97" s="2">
        <v>4.7615601707793602E-2</v>
      </c>
      <c r="S97" s="2">
        <v>3.1840219986974398E-3</v>
      </c>
      <c r="T97" s="2">
        <v>7.9311093422100007E-2</v>
      </c>
      <c r="U97" s="2">
        <v>6.0351689702583401E-2</v>
      </c>
      <c r="V97" s="2">
        <v>6.6936826108980302E-2</v>
      </c>
      <c r="W97" s="2">
        <v>3.00311165786236E-2</v>
      </c>
      <c r="X97" s="2">
        <v>1.13611694044431E-2</v>
      </c>
      <c r="Y97" s="2">
        <v>2.1709240900209801E-3</v>
      </c>
      <c r="Z97" s="2">
        <v>3.2563861350314699E-3</v>
      </c>
      <c r="AA97" s="2">
        <v>1.1650625949779199E-2</v>
      </c>
      <c r="AB97" s="2">
        <v>1.15782618134452E-3</v>
      </c>
      <c r="AC97" s="19">
        <f t="shared" si="7"/>
        <v>0.110500036182068</v>
      </c>
      <c r="AD97" s="20" t="str">
        <f t="shared" si="8"/>
        <v>o</v>
      </c>
      <c r="AE97" s="21" t="str">
        <f t="shared" si="13"/>
        <v>pnneoo</v>
      </c>
      <c r="AF97" s="22" t="str">
        <f t="shared" si="9"/>
        <v/>
      </c>
      <c r="AG97" s="19" cm="1">
        <f t="array" ref="AG97">MAX(IF($C97:$AB97&lt;AC97,$C97:$AB97))</f>
        <v>8.5534409146826806E-2</v>
      </c>
      <c r="AH97" s="20" t="str">
        <f t="shared" si="10"/>
        <v>e</v>
      </c>
      <c r="AI97" s="21" t="str">
        <f t="shared" si="11"/>
        <v>uoerre</v>
      </c>
      <c r="AJ97" s="22" t="str">
        <f t="shared" si="12"/>
        <v/>
      </c>
    </row>
    <row r="98" spans="1:36" x14ac:dyDescent="0.25">
      <c r="A98" s="2">
        <v>14</v>
      </c>
      <c r="B98" s="2">
        <v>7</v>
      </c>
      <c r="C98" s="2">
        <v>7.8732180331427704E-2</v>
      </c>
      <c r="D98" s="2">
        <v>1.40386424488023E-2</v>
      </c>
      <c r="E98" s="2">
        <v>4.9279976843476299E-2</v>
      </c>
      <c r="F98" s="2">
        <v>1.8018669947174101E-2</v>
      </c>
      <c r="G98" s="2">
        <v>9.6678486142267803E-2</v>
      </c>
      <c r="H98" s="2">
        <v>1.44004631304725E-2</v>
      </c>
      <c r="I98" s="2">
        <v>2.1057963673203499E-2</v>
      </c>
      <c r="J98" s="2">
        <v>2.5978724943917699E-2</v>
      </c>
      <c r="K98" s="2">
        <v>9.0816991099211195E-2</v>
      </c>
      <c r="L98" s="2">
        <v>1.3025544540125899E-3</v>
      </c>
      <c r="M98" s="2">
        <v>1.66437513568275E-3</v>
      </c>
      <c r="N98" s="2">
        <v>5.4345466386858603E-2</v>
      </c>
      <c r="O98" s="2">
        <v>3.2780953759316799E-2</v>
      </c>
      <c r="P98" s="2">
        <v>5.3549460887184298E-2</v>
      </c>
      <c r="Q98" s="2">
        <v>0.114262971271437</v>
      </c>
      <c r="R98" s="2">
        <v>3.8497720529705397E-2</v>
      </c>
      <c r="S98" s="2">
        <v>1.51964686301469E-3</v>
      </c>
      <c r="T98" s="2">
        <v>8.8428974600188101E-2</v>
      </c>
      <c r="U98" s="2">
        <v>5.9555684202909E-2</v>
      </c>
      <c r="V98" s="2">
        <v>8.7343512555177596E-2</v>
      </c>
      <c r="W98" s="2">
        <v>3.25638613503147E-2</v>
      </c>
      <c r="X98" s="2">
        <v>9.0455170417540996E-3</v>
      </c>
      <c r="Y98" s="2">
        <v>1.2301903176785501E-3</v>
      </c>
      <c r="Z98" s="2">
        <v>3.1116578623634102E-3</v>
      </c>
      <c r="AA98" s="2">
        <v>1.07822563137708E-2</v>
      </c>
      <c r="AB98" s="2">
        <v>1.0130979086764599E-3</v>
      </c>
      <c r="AC98" s="19">
        <f t="shared" si="7"/>
        <v>0.114262971271437</v>
      </c>
      <c r="AD98" s="20" t="str">
        <f t="shared" si="8"/>
        <v>o</v>
      </c>
      <c r="AE98" s="21" t="str">
        <f t="shared" si="13"/>
        <v>pnneooo</v>
      </c>
      <c r="AF98" s="22" t="str">
        <f t="shared" si="9"/>
        <v/>
      </c>
      <c r="AG98" s="19" cm="1">
        <f t="array" ref="AG98">MAX(IF($C98:$AB98&lt;AC98,$C98:$AB98))</f>
        <v>9.6678486142267803E-2</v>
      </c>
      <c r="AH98" s="20" t="str">
        <f t="shared" si="10"/>
        <v>e</v>
      </c>
      <c r="AI98" s="21" t="str">
        <f t="shared" si="11"/>
        <v>uoerree</v>
      </c>
      <c r="AJ98" s="22" t="str">
        <f t="shared" si="12"/>
        <v/>
      </c>
    </row>
    <row r="99" spans="1:36" x14ac:dyDescent="0.25">
      <c r="A99" s="2">
        <v>14</v>
      </c>
      <c r="B99" s="2">
        <v>8</v>
      </c>
      <c r="C99" s="2">
        <v>8.8067153918517896E-2</v>
      </c>
      <c r="D99" s="2">
        <v>2.7570735943266499E-2</v>
      </c>
      <c r="E99" s="2">
        <v>5.1306172660829201E-2</v>
      </c>
      <c r="F99" s="2">
        <v>1.97554092191909E-2</v>
      </c>
      <c r="G99" s="2">
        <v>7.9528185831102105E-2</v>
      </c>
      <c r="H99" s="2">
        <v>1.43280989941385E-2</v>
      </c>
      <c r="I99" s="2">
        <v>2.82220131702728E-2</v>
      </c>
      <c r="J99" s="2">
        <v>2.4314349808234999E-2</v>
      </c>
      <c r="K99" s="2">
        <v>0.139445690715681</v>
      </c>
      <c r="L99" s="2">
        <v>5.7891309067226204E-4</v>
      </c>
      <c r="M99" s="2">
        <v>1.15782618134452E-3</v>
      </c>
      <c r="N99" s="2">
        <v>5.2463998842173801E-2</v>
      </c>
      <c r="O99" s="2">
        <v>2.8439105579274902E-2</v>
      </c>
      <c r="P99" s="2">
        <v>5.8614950430566602E-2</v>
      </c>
      <c r="Q99" s="2">
        <v>9.2843186916564097E-2</v>
      </c>
      <c r="R99" s="2">
        <v>3.4300600622331499E-2</v>
      </c>
      <c r="S99" s="2">
        <v>1.37491859034662E-3</v>
      </c>
      <c r="T99" s="2">
        <v>7.5403430060062199E-2</v>
      </c>
      <c r="U99" s="2">
        <v>3.89319053477096E-2</v>
      </c>
      <c r="V99" s="2">
        <v>8.5027860192488605E-2</v>
      </c>
      <c r="W99" s="2">
        <v>3.34322309863231E-2</v>
      </c>
      <c r="X99" s="2">
        <v>7.52587017873941E-3</v>
      </c>
      <c r="Y99" s="2">
        <v>1.51964686301469E-3</v>
      </c>
      <c r="Z99" s="2">
        <v>2.1709240900209801E-3</v>
      </c>
      <c r="AA99" s="2">
        <v>1.08546204501049E-2</v>
      </c>
      <c r="AB99" s="2">
        <v>2.8222013170272802E-3</v>
      </c>
      <c r="AC99" s="19">
        <f t="shared" si="7"/>
        <v>0.139445690715681</v>
      </c>
      <c r="AD99" s="20" t="str">
        <f t="shared" si="8"/>
        <v>i</v>
      </c>
      <c r="AE99" s="21" t="str">
        <f t="shared" si="13"/>
        <v>pnneoooi</v>
      </c>
      <c r="AF99" s="22" t="str">
        <f t="shared" si="9"/>
        <v/>
      </c>
      <c r="AG99" s="19" cm="1">
        <f t="array" ref="AG99">MAX(IF($C99:$AB99&lt;AC99,$C99:$AB99))</f>
        <v>9.2843186916564097E-2</v>
      </c>
      <c r="AH99" s="20" t="str">
        <f t="shared" si="10"/>
        <v>o</v>
      </c>
      <c r="AI99" s="21" t="str">
        <f t="shared" si="11"/>
        <v>uoerreeo</v>
      </c>
      <c r="AJ99" s="22" t="str">
        <f t="shared" si="12"/>
        <v/>
      </c>
    </row>
    <row r="100" spans="1:36" x14ac:dyDescent="0.25">
      <c r="A100" s="2">
        <v>14</v>
      </c>
      <c r="B100" s="2">
        <v>9</v>
      </c>
      <c r="C100" s="2">
        <v>8.3435849193139802E-2</v>
      </c>
      <c r="D100" s="2">
        <v>2.6630002170924E-2</v>
      </c>
      <c r="E100" s="2">
        <v>4.6385411390114997E-2</v>
      </c>
      <c r="F100" s="2">
        <v>1.47622838121427E-2</v>
      </c>
      <c r="G100" s="2">
        <v>7.5837614878066395E-2</v>
      </c>
      <c r="H100" s="2">
        <v>9.5520659960923304E-3</v>
      </c>
      <c r="I100" s="2">
        <v>1.9827773355525002E-2</v>
      </c>
      <c r="J100" s="2">
        <v>3.2057312395976499E-2</v>
      </c>
      <c r="K100" s="2">
        <v>0.11484188436211</v>
      </c>
      <c r="L100" s="2">
        <v>4.3418481800419699E-4</v>
      </c>
      <c r="M100" s="2">
        <v>2.0261958173529199E-3</v>
      </c>
      <c r="N100" s="2">
        <v>7.6127071423402498E-2</v>
      </c>
      <c r="O100" s="2">
        <v>3.0682393805629898E-2</v>
      </c>
      <c r="P100" s="2">
        <v>7.1133946016354296E-2</v>
      </c>
      <c r="Q100" s="2">
        <v>6.8818293653665194E-2</v>
      </c>
      <c r="R100" s="2">
        <v>3.0103480714957599E-2</v>
      </c>
      <c r="S100" s="2">
        <v>1.5920109993487199E-3</v>
      </c>
      <c r="T100" s="2">
        <v>7.6850712786742895E-2</v>
      </c>
      <c r="U100" s="2">
        <v>4.75432375714595E-2</v>
      </c>
      <c r="V100" s="2">
        <v>8.3942398147478101E-2</v>
      </c>
      <c r="W100" s="2">
        <v>4.54446776177726E-2</v>
      </c>
      <c r="X100" s="2">
        <v>1.59201099934872E-2</v>
      </c>
      <c r="Y100" s="2">
        <v>8.6836963600839397E-4</v>
      </c>
      <c r="Z100" s="2">
        <v>1.4472827266806499E-3</v>
      </c>
      <c r="AA100" s="2">
        <v>8.0324191330776399E-3</v>
      </c>
      <c r="AB100" s="2">
        <v>1.5703017584485099E-2</v>
      </c>
      <c r="AC100" s="19">
        <f t="shared" si="7"/>
        <v>0.11484188436211</v>
      </c>
      <c r="AD100" s="20" t="str">
        <f t="shared" si="8"/>
        <v>i</v>
      </c>
      <c r="AE100" s="21" t="str">
        <f t="shared" si="13"/>
        <v>pnneoooii</v>
      </c>
      <c r="AF100" s="22" t="str">
        <f t="shared" si="9"/>
        <v/>
      </c>
      <c r="AG100" s="19" cm="1">
        <f t="array" ref="AG100">MAX(IF($C100:$AB100&lt;AC100,$C100:$AB100))</f>
        <v>8.3942398147478101E-2</v>
      </c>
      <c r="AH100" s="20" t="str">
        <f t="shared" si="10"/>
        <v>t</v>
      </c>
      <c r="AI100" s="21" t="str">
        <f t="shared" si="11"/>
        <v>uoerreeot</v>
      </c>
      <c r="AJ100" s="22" t="str">
        <f t="shared" si="12"/>
        <v/>
      </c>
    </row>
    <row r="101" spans="1:36" x14ac:dyDescent="0.25">
      <c r="A101" s="2">
        <v>14</v>
      </c>
      <c r="B101" s="2">
        <v>10</v>
      </c>
      <c r="C101" s="2">
        <v>0.16397713293291799</v>
      </c>
      <c r="D101" s="2">
        <v>6.0785874520587601E-3</v>
      </c>
      <c r="E101" s="2">
        <v>7.6561256241406694E-2</v>
      </c>
      <c r="F101" s="2">
        <v>2.24328822635501E-2</v>
      </c>
      <c r="G101" s="2">
        <v>0.103697807366669</v>
      </c>
      <c r="H101" s="2">
        <v>3.8352992257037399E-3</v>
      </c>
      <c r="I101" s="2">
        <v>2.4024893262898899E-2</v>
      </c>
      <c r="J101" s="2">
        <v>3.1261306896302098E-2</v>
      </c>
      <c r="K101" s="2">
        <v>0.13763658730733</v>
      </c>
      <c r="L101" s="2">
        <v>7.2364136334032795E-5</v>
      </c>
      <c r="M101" s="2">
        <v>5.7891309067226204E-4</v>
      </c>
      <c r="N101" s="2">
        <v>5.4490194659526703E-2</v>
      </c>
      <c r="O101" s="2">
        <v>2.27223388088863E-2</v>
      </c>
      <c r="P101" s="2">
        <v>5.1595629206165401E-2</v>
      </c>
      <c r="Q101" s="2">
        <v>7.4245603878717703E-2</v>
      </c>
      <c r="R101" s="2">
        <v>1.9538316810188801E-2</v>
      </c>
      <c r="S101" s="2">
        <v>4.3418481800419699E-4</v>
      </c>
      <c r="T101" s="2">
        <v>5.0293074752152798E-2</v>
      </c>
      <c r="U101" s="2">
        <v>4.6530139662783097E-2</v>
      </c>
      <c r="V101" s="2">
        <v>7.2436500470366802E-2</v>
      </c>
      <c r="W101" s="2">
        <v>2.0985599536869501E-2</v>
      </c>
      <c r="X101" s="2">
        <v>2.38801649902308E-3</v>
      </c>
      <c r="Y101" s="2">
        <v>1.9538316810188798E-3</v>
      </c>
      <c r="Z101" s="2">
        <v>5.7891309067226204E-4</v>
      </c>
      <c r="AA101" s="2">
        <v>8.9007887690860394E-3</v>
      </c>
      <c r="AB101" s="2">
        <v>2.7498371806932401E-3</v>
      </c>
      <c r="AC101" s="19">
        <f t="shared" si="7"/>
        <v>0.16397713293291799</v>
      </c>
      <c r="AD101" s="20" t="str">
        <f t="shared" si="8"/>
        <v>a</v>
      </c>
      <c r="AE101" s="21" t="str">
        <f t="shared" si="13"/>
        <v>pnneoooiia</v>
      </c>
      <c r="AF101" s="22" t="str">
        <f t="shared" si="9"/>
        <v/>
      </c>
      <c r="AG101" s="19" cm="1">
        <f t="array" ref="AG101">MAX(IF($C101:$AB101&lt;AC101,$C101:$AB101))</f>
        <v>0.13763658730733</v>
      </c>
      <c r="AH101" s="20" t="str">
        <f t="shared" si="10"/>
        <v>i</v>
      </c>
      <c r="AI101" s="21" t="str">
        <f t="shared" si="11"/>
        <v>uoerreeoti</v>
      </c>
      <c r="AJ101" s="22" t="str">
        <f t="shared" si="12"/>
        <v/>
      </c>
    </row>
    <row r="102" spans="1:36" x14ac:dyDescent="0.25">
      <c r="A102" s="2">
        <v>14</v>
      </c>
      <c r="B102" s="2">
        <v>11</v>
      </c>
      <c r="C102" s="2">
        <v>0.12063101526883201</v>
      </c>
      <c r="D102" s="2">
        <v>3.1116578623634102E-3</v>
      </c>
      <c r="E102" s="2">
        <v>2.48208987625732E-2</v>
      </c>
      <c r="F102" s="2">
        <v>1.2301903176785501E-2</v>
      </c>
      <c r="G102" s="2">
        <v>5.5213836022867002E-2</v>
      </c>
      <c r="H102" s="2">
        <v>3.5458426803676099E-3</v>
      </c>
      <c r="I102" s="2">
        <v>1.45451914031406E-2</v>
      </c>
      <c r="J102" s="2">
        <v>1.9104131992184602E-2</v>
      </c>
      <c r="K102" s="2">
        <v>0.105941095593024</v>
      </c>
      <c r="L102" s="2">
        <v>1.4472827266806499E-4</v>
      </c>
      <c r="M102" s="2">
        <v>1.51964686301469E-3</v>
      </c>
      <c r="N102" s="2">
        <v>7.7791446559085306E-2</v>
      </c>
      <c r="O102" s="2">
        <v>2.0840871264201401E-2</v>
      </c>
      <c r="P102" s="2">
        <v>0.152471235255807</v>
      </c>
      <c r="Q102" s="2">
        <v>4.2405383891743198E-2</v>
      </c>
      <c r="R102" s="2">
        <v>1.4472827266806499E-2</v>
      </c>
      <c r="S102" s="2">
        <v>0</v>
      </c>
      <c r="T102" s="2">
        <v>5.42007381141906E-2</v>
      </c>
      <c r="U102" s="2">
        <v>4.87010637528041E-2</v>
      </c>
      <c r="V102" s="2">
        <v>0.15854982270786599</v>
      </c>
      <c r="W102" s="2">
        <v>3.2419133077646697E-2</v>
      </c>
      <c r="X102" s="2">
        <v>1.5341196902814901E-2</v>
      </c>
      <c r="Y102" s="2">
        <v>1.0854620450104901E-3</v>
      </c>
      <c r="Z102" s="2">
        <v>7.23641363340328E-4</v>
      </c>
      <c r="AA102" s="2">
        <v>9.1178811780881393E-3</v>
      </c>
      <c r="AB102" s="2">
        <v>1.09993487227729E-2</v>
      </c>
      <c r="AC102" s="19">
        <f t="shared" si="7"/>
        <v>0.15854982270786599</v>
      </c>
      <c r="AD102" s="20" t="str">
        <f t="shared" si="8"/>
        <v>t</v>
      </c>
      <c r="AE102" s="21" t="str">
        <f t="shared" si="13"/>
        <v>pnneoooiiat</v>
      </c>
      <c r="AF102" s="22" t="str">
        <f t="shared" si="9"/>
        <v/>
      </c>
      <c r="AG102" s="19" cm="1">
        <f t="array" ref="AG102">MAX(IF($C102:$AB102&lt;AC102,$C102:$AB102))</f>
        <v>0.152471235255807</v>
      </c>
      <c r="AH102" s="20" t="str">
        <f t="shared" si="10"/>
        <v>n</v>
      </c>
      <c r="AI102" s="21" t="str">
        <f t="shared" si="11"/>
        <v>uoerreeotin</v>
      </c>
      <c r="AJ102" s="22" t="str">
        <f t="shared" si="12"/>
        <v/>
      </c>
    </row>
    <row r="103" spans="1:36" x14ac:dyDescent="0.25">
      <c r="A103" s="2">
        <v>14</v>
      </c>
      <c r="B103" s="2">
        <v>12</v>
      </c>
      <c r="C103" s="2">
        <v>4.2767204573413403E-2</v>
      </c>
      <c r="D103" s="2">
        <v>3.6109704030682303E-2</v>
      </c>
      <c r="E103" s="2">
        <v>3.3938779940661398E-2</v>
      </c>
      <c r="F103" s="2">
        <v>1.09269845864389E-2</v>
      </c>
      <c r="G103" s="2">
        <v>0.14566900644040801</v>
      </c>
      <c r="H103" s="2">
        <v>1.2301903176785501E-3</v>
      </c>
      <c r="I103" s="2">
        <v>1.62095665388233E-2</v>
      </c>
      <c r="J103" s="2">
        <v>2.0623778855199299E-2</v>
      </c>
      <c r="K103" s="2">
        <v>0.29336420869816898</v>
      </c>
      <c r="L103" s="2">
        <v>0</v>
      </c>
      <c r="M103" s="2">
        <v>2.8945654533613102E-4</v>
      </c>
      <c r="N103" s="2">
        <v>6.3390983428612699E-2</v>
      </c>
      <c r="O103" s="2">
        <v>7.8876908604095797E-3</v>
      </c>
      <c r="P103" s="2">
        <v>4.1826470801070902E-2</v>
      </c>
      <c r="Q103" s="2">
        <v>9.5014111006585106E-2</v>
      </c>
      <c r="R103" s="2">
        <v>8.3942398147478104E-3</v>
      </c>
      <c r="S103" s="2">
        <v>3.61820681670164E-4</v>
      </c>
      <c r="T103" s="2">
        <v>2.17092409002098E-2</v>
      </c>
      <c r="U103" s="2">
        <v>5.7457124249222002E-2</v>
      </c>
      <c r="V103" s="2">
        <v>7.8297995513423493E-2</v>
      </c>
      <c r="W103" s="2">
        <v>6.4404081337289202E-3</v>
      </c>
      <c r="X103" s="2">
        <v>1.0854620450104901E-3</v>
      </c>
      <c r="Y103" s="2">
        <v>2.1709240900209801E-4</v>
      </c>
      <c r="Z103" s="2">
        <v>1.66437513568275E-3</v>
      </c>
      <c r="AA103" s="2">
        <v>2.96692958969534E-3</v>
      </c>
      <c r="AB103" s="2">
        <v>1.2157174904117499E-2</v>
      </c>
      <c r="AC103" s="19">
        <f t="shared" si="7"/>
        <v>0.29336420869816898</v>
      </c>
      <c r="AD103" s="20" t="str">
        <f t="shared" si="8"/>
        <v>i</v>
      </c>
      <c r="AE103" s="21" t="str">
        <f t="shared" si="13"/>
        <v>pnneoooiiati</v>
      </c>
      <c r="AF103" s="22" t="str">
        <f t="shared" si="9"/>
        <v/>
      </c>
      <c r="AG103" s="19" cm="1">
        <f t="array" ref="AG103">MAX(IF($C103:$AB103&lt;AC103,$C103:$AB103))</f>
        <v>0.14566900644040801</v>
      </c>
      <c r="AH103" s="20" t="str">
        <f t="shared" si="10"/>
        <v>e</v>
      </c>
      <c r="AI103" s="21" t="str">
        <f t="shared" si="11"/>
        <v>uoerreeotine</v>
      </c>
      <c r="AJ103" s="22" t="str">
        <f t="shared" si="12"/>
        <v/>
      </c>
    </row>
    <row r="104" spans="1:36" x14ac:dyDescent="0.25">
      <c r="A104" s="2">
        <v>14</v>
      </c>
      <c r="B104" s="2">
        <v>13</v>
      </c>
      <c r="C104" s="2">
        <v>9.1106447644547298E-2</v>
      </c>
      <c r="D104" s="2">
        <v>7.2364136334032795E-5</v>
      </c>
      <c r="E104" s="2">
        <v>1.8235762356176199E-2</v>
      </c>
      <c r="F104" s="2">
        <v>5.6444026340545603E-3</v>
      </c>
      <c r="G104" s="2">
        <v>9.5593024097257395E-2</v>
      </c>
      <c r="H104" s="2">
        <v>0</v>
      </c>
      <c r="I104" s="2">
        <v>7.3087777697373102E-3</v>
      </c>
      <c r="J104" s="2">
        <v>5.6444026340545603E-3</v>
      </c>
      <c r="K104" s="2">
        <v>0.108980389319053</v>
      </c>
      <c r="L104" s="2">
        <v>7.2364136334032795E-5</v>
      </c>
      <c r="M104" s="2">
        <v>1.4472827266806499E-3</v>
      </c>
      <c r="N104" s="2">
        <v>0.14248498444171001</v>
      </c>
      <c r="O104" s="2">
        <v>8.4666039510818396E-3</v>
      </c>
      <c r="P104" s="2">
        <v>9.6895578551269901E-2</v>
      </c>
      <c r="Q104" s="2">
        <v>8.5534409146826806E-2</v>
      </c>
      <c r="R104" s="2">
        <v>7.7429625877415099E-3</v>
      </c>
      <c r="S104" s="2">
        <v>0</v>
      </c>
      <c r="T104" s="2">
        <v>2.7136551125262299E-2</v>
      </c>
      <c r="U104" s="2">
        <v>0.14400463130472499</v>
      </c>
      <c r="V104" s="2">
        <v>7.0772125334684105E-2</v>
      </c>
      <c r="W104" s="2">
        <v>5.54309284318691E-2</v>
      </c>
      <c r="X104" s="2">
        <v>1.97554092191909E-2</v>
      </c>
      <c r="Y104" s="2">
        <v>0</v>
      </c>
      <c r="Z104" s="2">
        <v>4.3418481800419699E-4</v>
      </c>
      <c r="AA104" s="2">
        <v>7.23641363340328E-4</v>
      </c>
      <c r="AB104" s="2">
        <v>6.5127722700629503E-3</v>
      </c>
      <c r="AC104" s="19">
        <f t="shared" si="7"/>
        <v>0.14400463130472499</v>
      </c>
      <c r="AD104" s="20" t="str">
        <f t="shared" si="8"/>
        <v>s</v>
      </c>
      <c r="AE104" s="21" t="str">
        <f t="shared" si="13"/>
        <v>pnneoooiiatis</v>
      </c>
      <c r="AF104" s="22" t="str">
        <f t="shared" si="9"/>
        <v/>
      </c>
      <c r="AG104" s="19" cm="1">
        <f t="array" ref="AG104">MAX(IF($C104:$AB104&lt;AC104,$C104:$AB104))</f>
        <v>0.14248498444171001</v>
      </c>
      <c r="AH104" s="20" t="str">
        <f t="shared" si="10"/>
        <v>l</v>
      </c>
      <c r="AI104" s="21" t="str">
        <f t="shared" si="11"/>
        <v>uoerreeotinel</v>
      </c>
      <c r="AJ104" s="22" t="str">
        <f t="shared" si="12"/>
        <v/>
      </c>
    </row>
    <row r="105" spans="1:36" x14ac:dyDescent="0.25">
      <c r="A105" s="2">
        <v>14</v>
      </c>
      <c r="B105" s="2">
        <v>14</v>
      </c>
      <c r="C105" s="2">
        <v>1.9248860264852698E-2</v>
      </c>
      <c r="D105" s="2">
        <v>0</v>
      </c>
      <c r="E105" s="2">
        <v>5.5286200159201097E-2</v>
      </c>
      <c r="F105" s="2">
        <v>4.9714161661480502E-2</v>
      </c>
      <c r="G105" s="2">
        <v>0.126203053766553</v>
      </c>
      <c r="H105" s="2">
        <v>3.61820681670164E-4</v>
      </c>
      <c r="I105" s="2">
        <v>4.8194514798465801E-2</v>
      </c>
      <c r="J105" s="2">
        <v>4.4142123163759999E-3</v>
      </c>
      <c r="K105" s="2">
        <v>7.23641363340328E-4</v>
      </c>
      <c r="L105" s="2">
        <v>0</v>
      </c>
      <c r="M105" s="2">
        <v>7.2364136334032795E-5</v>
      </c>
      <c r="N105" s="2">
        <v>7.3160141833707198E-2</v>
      </c>
      <c r="O105" s="2">
        <v>2.6485273898256001E-2</v>
      </c>
      <c r="P105" s="2">
        <v>9.3349735870902298E-2</v>
      </c>
      <c r="Q105" s="2">
        <v>4.3418481800419699E-4</v>
      </c>
      <c r="R105" s="2">
        <v>6.3680439973948901E-3</v>
      </c>
      <c r="S105" s="2">
        <v>0</v>
      </c>
      <c r="T105" s="2">
        <v>2.5689268398581599E-2</v>
      </c>
      <c r="U105" s="2">
        <v>0.24553151458137301</v>
      </c>
      <c r="V105" s="2">
        <v>4.1754106664736897E-2</v>
      </c>
      <c r="W105" s="2">
        <v>0</v>
      </c>
      <c r="X105" s="2">
        <v>0</v>
      </c>
      <c r="Y105" s="2">
        <v>0</v>
      </c>
      <c r="Z105" s="2">
        <v>3.61820681670164E-4</v>
      </c>
      <c r="AA105" s="2">
        <v>0.18264708010709799</v>
      </c>
      <c r="AB105" s="2">
        <v>0</v>
      </c>
      <c r="AC105" s="19">
        <f t="shared" si="7"/>
        <v>0.24553151458137301</v>
      </c>
      <c r="AD105" s="20" t="str">
        <f t="shared" si="8"/>
        <v>s</v>
      </c>
      <c r="AE105" s="21" t="str">
        <f t="shared" si="13"/>
        <v>pnneoooiiatiss</v>
      </c>
      <c r="AF105" s="22" t="str">
        <f t="shared" si="9"/>
        <v>pnneoooiiatiss</v>
      </c>
      <c r="AG105" s="19" cm="1">
        <f t="array" ref="AG105">MAX(IF($C105:$AB105&lt;AC105,$C105:$AB105))</f>
        <v>0.18264708010709799</v>
      </c>
      <c r="AH105" s="20" t="str">
        <f t="shared" si="10"/>
        <v>y</v>
      </c>
      <c r="AI105" s="21" t="str">
        <f t="shared" si="11"/>
        <v>uoerreeotinely</v>
      </c>
      <c r="AJ105" s="22" t="str">
        <f t="shared" si="12"/>
        <v>uoerreeotinely</v>
      </c>
    </row>
    <row r="106" spans="1:36" x14ac:dyDescent="0.25">
      <c r="A106" s="2">
        <v>15</v>
      </c>
      <c r="B106" s="2">
        <v>1</v>
      </c>
      <c r="C106" s="2">
        <v>6.2924974069378803E-2</v>
      </c>
      <c r="D106" s="2">
        <v>1.8093811225077701E-2</v>
      </c>
      <c r="E106" s="2">
        <v>7.1914256079290001E-2</v>
      </c>
      <c r="F106" s="2">
        <v>4.2756713149706103E-2</v>
      </c>
      <c r="G106" s="2">
        <v>3.3652183934539497E-2</v>
      </c>
      <c r="H106" s="2">
        <v>1.10637317045061E-2</v>
      </c>
      <c r="I106" s="2">
        <v>1.0833237293995599E-2</v>
      </c>
      <c r="J106" s="2">
        <v>4.1028005070876998E-2</v>
      </c>
      <c r="K106" s="2">
        <v>6.4538434942952597E-2</v>
      </c>
      <c r="L106" s="2">
        <v>5.7623602627636199E-4</v>
      </c>
      <c r="M106" s="2">
        <v>1.61346087357381E-3</v>
      </c>
      <c r="N106" s="2">
        <v>1.03722484729745E-2</v>
      </c>
      <c r="O106" s="2">
        <v>4.5292151665322099E-2</v>
      </c>
      <c r="P106" s="2">
        <v>0.10510545119280799</v>
      </c>
      <c r="Q106" s="2">
        <v>4.7712342975682803E-2</v>
      </c>
      <c r="R106" s="2">
        <v>0.12896162268065001</v>
      </c>
      <c r="S106" s="2">
        <v>5.8776074680188996E-3</v>
      </c>
      <c r="T106" s="2">
        <v>3.1347239829434097E-2</v>
      </c>
      <c r="U106" s="2">
        <v>0.106257923245361</v>
      </c>
      <c r="V106" s="2">
        <v>3.8953555376282097E-2</v>
      </c>
      <c r="W106" s="2">
        <v>0.110406822634551</v>
      </c>
      <c r="X106" s="2">
        <v>6.45384349429526E-3</v>
      </c>
      <c r="Y106" s="2">
        <v>1.9592024893396302E-3</v>
      </c>
      <c r="Z106" s="2">
        <v>1.1524720525527201E-3</v>
      </c>
      <c r="AA106" s="2">
        <v>1.15247205255272E-4</v>
      </c>
      <c r="AB106" s="2">
        <v>1.0372248472974501E-3</v>
      </c>
      <c r="AC106" s="19">
        <f t="shared" si="7"/>
        <v>0.12896162268065001</v>
      </c>
      <c r="AD106" s="20" t="str">
        <f t="shared" si="8"/>
        <v>p</v>
      </c>
      <c r="AE106" s="21" t="str">
        <f t="shared" si="13"/>
        <v>p</v>
      </c>
      <c r="AF106" s="22" t="str">
        <f t="shared" si="9"/>
        <v/>
      </c>
      <c r="AG106" s="19" cm="1">
        <f t="array" ref="AG106">MAX(IF($C106:$AB106&lt;AC106,$C106:$AB106))</f>
        <v>0.110406822634551</v>
      </c>
      <c r="AH106" s="20" t="str">
        <f t="shared" si="10"/>
        <v>u</v>
      </c>
      <c r="AI106" s="21" t="str">
        <f t="shared" si="11"/>
        <v>u</v>
      </c>
      <c r="AJ106" s="22" t="str">
        <f t="shared" si="12"/>
        <v/>
      </c>
    </row>
    <row r="107" spans="1:36" x14ac:dyDescent="0.25">
      <c r="A107" s="2">
        <v>15</v>
      </c>
      <c r="B107" s="2">
        <v>2</v>
      </c>
      <c r="C107" s="2">
        <v>6.2118243632591899E-2</v>
      </c>
      <c r="D107" s="2">
        <v>2.0744496945949002E-3</v>
      </c>
      <c r="E107" s="2">
        <v>1.5904114325227599E-2</v>
      </c>
      <c r="F107" s="2">
        <v>3.8031577734239899E-3</v>
      </c>
      <c r="G107" s="2">
        <v>0.123314509623141</v>
      </c>
      <c r="H107" s="2">
        <v>1.72870807882908E-3</v>
      </c>
      <c r="I107" s="2">
        <v>1.2677192578079901E-3</v>
      </c>
      <c r="J107" s="2">
        <v>4.3563443586493E-2</v>
      </c>
      <c r="K107" s="2">
        <v>5.8891321885444201E-2</v>
      </c>
      <c r="L107" s="2">
        <v>1.15247205255272E-4</v>
      </c>
      <c r="M107" s="2">
        <v>4.6098882102108999E-4</v>
      </c>
      <c r="N107" s="2">
        <v>2.5008643540394102E-2</v>
      </c>
      <c r="O107" s="2">
        <v>1.39449118358879E-2</v>
      </c>
      <c r="P107" s="2">
        <v>0.188313933387115</v>
      </c>
      <c r="Q107" s="2">
        <v>0.169298144519995</v>
      </c>
      <c r="R107" s="2">
        <v>1.54431255042065E-2</v>
      </c>
      <c r="S107" s="2">
        <v>1.49821366831854E-3</v>
      </c>
      <c r="T107" s="2">
        <v>8.1825515731243498E-2</v>
      </c>
      <c r="U107" s="2">
        <v>2.4662901924628299E-2</v>
      </c>
      <c r="V107" s="2">
        <v>1.35991702201221E-2</v>
      </c>
      <c r="W107" s="2">
        <v>7.7791863547308895E-2</v>
      </c>
      <c r="X107" s="2">
        <v>3.1347239829434097E-2</v>
      </c>
      <c r="Y107" s="2">
        <v>3.4574161576581702E-4</v>
      </c>
      <c r="Z107" s="2">
        <v>9.4502708309323492E-3</v>
      </c>
      <c r="AA107" s="2">
        <v>3.3997925550305397E-2</v>
      </c>
      <c r="AB107" s="2">
        <v>2.30494410510545E-4</v>
      </c>
      <c r="AC107" s="19">
        <f t="shared" si="7"/>
        <v>0.188313933387115</v>
      </c>
      <c r="AD107" s="20" t="str">
        <f t="shared" si="8"/>
        <v>n</v>
      </c>
      <c r="AE107" s="21" t="str">
        <f t="shared" si="13"/>
        <v>pn</v>
      </c>
      <c r="AF107" s="22" t="str">
        <f t="shared" si="9"/>
        <v/>
      </c>
      <c r="AG107" s="19" cm="1">
        <f t="array" ref="AG107">MAX(IF($C107:$AB107&lt;AC107,$C107:$AB107))</f>
        <v>0.169298144519995</v>
      </c>
      <c r="AH107" s="20" t="str">
        <f t="shared" si="10"/>
        <v>o</v>
      </c>
      <c r="AI107" s="21" t="str">
        <f t="shared" si="11"/>
        <v>uo</v>
      </c>
      <c r="AJ107" s="22" t="str">
        <f t="shared" si="12"/>
        <v/>
      </c>
    </row>
    <row r="108" spans="1:36" x14ac:dyDescent="0.25">
      <c r="A108" s="2">
        <v>15</v>
      </c>
      <c r="B108" s="2">
        <v>3</v>
      </c>
      <c r="C108" s="2">
        <v>5.46271752909991E-2</v>
      </c>
      <c r="D108" s="2">
        <v>2.40866658983519E-2</v>
      </c>
      <c r="E108" s="2">
        <v>6.1311513195805002E-2</v>
      </c>
      <c r="F108" s="2">
        <v>3.1347239829434097E-2</v>
      </c>
      <c r="G108" s="2">
        <v>0.115708194076293</v>
      </c>
      <c r="H108" s="2">
        <v>8.7587875994007101E-3</v>
      </c>
      <c r="I108" s="2">
        <v>1.2100956551803601E-2</v>
      </c>
      <c r="J108" s="2">
        <v>1.33686758096116E-2</v>
      </c>
      <c r="K108" s="2">
        <v>3.1001498213668301E-2</v>
      </c>
      <c r="L108" s="2">
        <v>9.2197764204217999E-4</v>
      </c>
      <c r="M108" s="2">
        <v>9.2197764204217999E-4</v>
      </c>
      <c r="N108" s="2">
        <v>4.2641465944450799E-2</v>
      </c>
      <c r="O108" s="2">
        <v>4.8864815028235503E-2</v>
      </c>
      <c r="P108" s="2">
        <v>0.140947332027198</v>
      </c>
      <c r="Q108" s="2">
        <v>5.4050939264722798E-2</v>
      </c>
      <c r="R108" s="2">
        <v>8.2401751757519806E-2</v>
      </c>
      <c r="S108" s="2">
        <v>1.38296646306327E-3</v>
      </c>
      <c r="T108" s="2">
        <v>6.64976374322922E-2</v>
      </c>
      <c r="U108" s="2">
        <v>6.1426760401060203E-2</v>
      </c>
      <c r="V108" s="2">
        <v>9.9804079751066005E-2</v>
      </c>
      <c r="W108" s="2">
        <v>2.3279935461565E-2</v>
      </c>
      <c r="X108" s="2">
        <v>6.33859628903999E-3</v>
      </c>
      <c r="Y108" s="2">
        <v>1.38296646306327E-3</v>
      </c>
      <c r="Z108" s="2">
        <v>2.4201913103607201E-3</v>
      </c>
      <c r="AA108" s="2">
        <v>1.4060159041143201E-2</v>
      </c>
      <c r="AB108" s="2">
        <v>3.4574161576581702E-4</v>
      </c>
      <c r="AC108" s="19">
        <f t="shared" si="7"/>
        <v>0.140947332027198</v>
      </c>
      <c r="AD108" s="20" t="str">
        <f t="shared" si="8"/>
        <v>n</v>
      </c>
      <c r="AE108" s="21" t="str">
        <f t="shared" si="13"/>
        <v>pnn</v>
      </c>
      <c r="AF108" s="22" t="str">
        <f t="shared" si="9"/>
        <v/>
      </c>
      <c r="AG108" s="19" cm="1">
        <f t="array" ref="AG108">MAX(IF($C108:$AB108&lt;AC108,$C108:$AB108))</f>
        <v>0.115708194076293</v>
      </c>
      <c r="AH108" s="20" t="str">
        <f t="shared" si="10"/>
        <v>e</v>
      </c>
      <c r="AI108" s="21" t="str">
        <f t="shared" si="11"/>
        <v>uoe</v>
      </c>
      <c r="AJ108" s="22" t="str">
        <f t="shared" si="12"/>
        <v/>
      </c>
    </row>
    <row r="109" spans="1:36" x14ac:dyDescent="0.25">
      <c r="A109" s="2">
        <v>15</v>
      </c>
      <c r="B109" s="2">
        <v>4</v>
      </c>
      <c r="C109" s="2">
        <v>6.53451653797395E-2</v>
      </c>
      <c r="D109" s="2">
        <v>8.6435403941454401E-3</v>
      </c>
      <c r="E109" s="2">
        <v>6.6958626253313294E-2</v>
      </c>
      <c r="F109" s="2">
        <v>2.78898236717759E-2</v>
      </c>
      <c r="G109" s="2">
        <v>0.15443125504206501</v>
      </c>
      <c r="H109" s="2">
        <v>1.10637317045061E-2</v>
      </c>
      <c r="I109" s="2">
        <v>1.30229341938457E-2</v>
      </c>
      <c r="J109" s="2">
        <v>3.1001498213668301E-2</v>
      </c>
      <c r="K109" s="2">
        <v>9.4733202719834E-2</v>
      </c>
      <c r="L109" s="2">
        <v>1.1524720525527201E-3</v>
      </c>
      <c r="M109" s="2">
        <v>1.9592024893396302E-3</v>
      </c>
      <c r="N109" s="2">
        <v>2.4317160308862499E-2</v>
      </c>
      <c r="O109" s="2">
        <v>2.29341938457992E-2</v>
      </c>
      <c r="P109" s="2">
        <v>5.8199838653912601E-2</v>
      </c>
      <c r="Q109" s="2">
        <v>7.5486919442203496E-2</v>
      </c>
      <c r="R109" s="2">
        <v>4.4254926818024599E-2</v>
      </c>
      <c r="S109" s="2">
        <v>2.1896968998501702E-3</v>
      </c>
      <c r="T109" s="2">
        <v>0.12158580154431201</v>
      </c>
      <c r="U109" s="2">
        <v>4.04517690446006E-2</v>
      </c>
      <c r="V109" s="2">
        <v>7.2490492105566406E-2</v>
      </c>
      <c r="W109" s="2">
        <v>3.66486112711766E-2</v>
      </c>
      <c r="X109" s="2">
        <v>9.1045292151665305E-3</v>
      </c>
      <c r="Y109" s="2">
        <v>5.7623602627636199E-4</v>
      </c>
      <c r="Z109" s="2">
        <v>3.8031577734239899E-3</v>
      </c>
      <c r="AA109" s="2">
        <v>9.6807652414428891E-3</v>
      </c>
      <c r="AB109" s="2">
        <v>2.0744496945949002E-3</v>
      </c>
      <c r="AC109" s="19">
        <f t="shared" si="7"/>
        <v>0.15443125504206501</v>
      </c>
      <c r="AD109" s="20" t="str">
        <f t="shared" si="8"/>
        <v>e</v>
      </c>
      <c r="AE109" s="21" t="str">
        <f t="shared" si="13"/>
        <v>pnne</v>
      </c>
      <c r="AF109" s="22" t="str">
        <f t="shared" si="9"/>
        <v/>
      </c>
      <c r="AG109" s="19" cm="1">
        <f t="array" ref="AG109">MAX(IF($C109:$AB109&lt;AC109,$C109:$AB109))</f>
        <v>0.12158580154431201</v>
      </c>
      <c r="AH109" s="20" t="str">
        <f t="shared" si="10"/>
        <v>r</v>
      </c>
      <c r="AI109" s="21" t="str">
        <f t="shared" si="11"/>
        <v>uoer</v>
      </c>
      <c r="AJ109" s="22" t="str">
        <f t="shared" si="12"/>
        <v/>
      </c>
    </row>
    <row r="110" spans="1:36" x14ac:dyDescent="0.25">
      <c r="A110" s="2">
        <v>15</v>
      </c>
      <c r="B110" s="2">
        <v>5</v>
      </c>
      <c r="C110" s="2">
        <v>6.7189120663823904E-2</v>
      </c>
      <c r="D110" s="2">
        <v>1.1409473320271901E-2</v>
      </c>
      <c r="E110" s="2">
        <v>4.6675118128385297E-2</v>
      </c>
      <c r="F110" s="2">
        <v>3.5841880834389703E-2</v>
      </c>
      <c r="G110" s="2">
        <v>8.7011639967730703E-2</v>
      </c>
      <c r="H110" s="2">
        <v>8.9892820099112501E-3</v>
      </c>
      <c r="I110" s="2">
        <v>1.6134608735738101E-2</v>
      </c>
      <c r="J110" s="2">
        <v>3.6879105681687202E-2</v>
      </c>
      <c r="K110" s="2">
        <v>6.3385962890399897E-2</v>
      </c>
      <c r="L110" s="2">
        <v>1.0372248472974501E-3</v>
      </c>
      <c r="M110" s="2">
        <v>2.4201913103607201E-3</v>
      </c>
      <c r="N110" s="2">
        <v>3.3652183934539497E-2</v>
      </c>
      <c r="O110" s="2">
        <v>3.9068802581537297E-2</v>
      </c>
      <c r="P110" s="2">
        <v>5.7508355422381002E-2</v>
      </c>
      <c r="Q110" s="2">
        <v>0.13080557796473399</v>
      </c>
      <c r="R110" s="2">
        <v>4.0797510660366403E-2</v>
      </c>
      <c r="S110" s="2">
        <v>3.9184049786792604E-3</v>
      </c>
      <c r="T110" s="2">
        <v>0.14728592831623799</v>
      </c>
      <c r="U110" s="2">
        <v>4.8173331796703897E-2</v>
      </c>
      <c r="V110" s="2">
        <v>6.7650109484844997E-2</v>
      </c>
      <c r="W110" s="2">
        <v>2.9618531750604998E-2</v>
      </c>
      <c r="X110" s="2">
        <v>7.9520571626137994E-3</v>
      </c>
      <c r="Y110" s="2">
        <v>5.7623602627636199E-4</v>
      </c>
      <c r="Z110" s="2">
        <v>3.3421689524029E-3</v>
      </c>
      <c r="AA110" s="2">
        <v>1.1870462141293E-2</v>
      </c>
      <c r="AB110" s="2">
        <v>8.0673043678690696E-4</v>
      </c>
      <c r="AC110" s="19">
        <f t="shared" si="7"/>
        <v>0.14728592831623799</v>
      </c>
      <c r="AD110" s="20" t="str">
        <f t="shared" si="8"/>
        <v>r</v>
      </c>
      <c r="AE110" s="21" t="str">
        <f t="shared" si="13"/>
        <v>pnner</v>
      </c>
      <c r="AF110" s="22" t="str">
        <f t="shared" si="9"/>
        <v/>
      </c>
      <c r="AG110" s="19" cm="1">
        <f t="array" ref="AG110">MAX(IF($C110:$AB110&lt;AC110,$C110:$AB110))</f>
        <v>0.13080557796473399</v>
      </c>
      <c r="AH110" s="20" t="str">
        <f t="shared" si="10"/>
        <v>o</v>
      </c>
      <c r="AI110" s="21" t="str">
        <f t="shared" si="11"/>
        <v>uoero</v>
      </c>
      <c r="AJ110" s="22" t="str">
        <f t="shared" si="12"/>
        <v/>
      </c>
    </row>
    <row r="111" spans="1:36" x14ac:dyDescent="0.25">
      <c r="A111" s="2">
        <v>15</v>
      </c>
      <c r="B111" s="2">
        <v>6</v>
      </c>
      <c r="C111" s="2">
        <v>6.8572087126887102E-2</v>
      </c>
      <c r="D111" s="2">
        <v>1.91310360723752E-2</v>
      </c>
      <c r="E111" s="2">
        <v>5.9813299527486402E-2</v>
      </c>
      <c r="F111" s="2">
        <v>1.8209058430332999E-2</v>
      </c>
      <c r="G111" s="2">
        <v>9.5424685951365606E-2</v>
      </c>
      <c r="H111" s="2">
        <v>1.68260919672697E-2</v>
      </c>
      <c r="I111" s="2">
        <v>2.2818946640543899E-2</v>
      </c>
      <c r="J111" s="2">
        <v>3.3652183934539497E-2</v>
      </c>
      <c r="K111" s="2">
        <v>6.8111098305865994E-2</v>
      </c>
      <c r="L111" s="2">
        <v>2.1896968998501702E-3</v>
      </c>
      <c r="M111" s="2">
        <v>1.0372248472974501E-3</v>
      </c>
      <c r="N111" s="2">
        <v>4.7597095770427499E-2</v>
      </c>
      <c r="O111" s="2">
        <v>4.8403826207214402E-2</v>
      </c>
      <c r="P111" s="2">
        <v>6.2809726864123505E-2</v>
      </c>
      <c r="Q111" s="2">
        <v>0.125849948138757</v>
      </c>
      <c r="R111" s="2">
        <v>5.0363028696554103E-2</v>
      </c>
      <c r="S111" s="2">
        <v>1.9592024893396302E-3</v>
      </c>
      <c r="T111" s="2">
        <v>7.8483346778840599E-2</v>
      </c>
      <c r="U111" s="2">
        <v>6.0389535553762801E-2</v>
      </c>
      <c r="V111" s="2">
        <v>6.6612884637547498E-2</v>
      </c>
      <c r="W111" s="2">
        <v>2.4662901924628299E-2</v>
      </c>
      <c r="X111" s="2">
        <v>9.4502708309323492E-3</v>
      </c>
      <c r="Y111" s="2">
        <v>2.3049441051054501E-3</v>
      </c>
      <c r="Z111" s="2">
        <v>2.4201913103607201E-3</v>
      </c>
      <c r="AA111" s="2">
        <v>1.2216203757058799E-2</v>
      </c>
      <c r="AB111" s="2">
        <v>6.9148323153163502E-4</v>
      </c>
      <c r="AC111" s="19">
        <f t="shared" si="7"/>
        <v>0.125849948138757</v>
      </c>
      <c r="AD111" s="20" t="str">
        <f t="shared" si="8"/>
        <v>o</v>
      </c>
      <c r="AE111" s="21" t="str">
        <f t="shared" si="13"/>
        <v>pnnero</v>
      </c>
      <c r="AF111" s="22" t="str">
        <f t="shared" si="9"/>
        <v/>
      </c>
      <c r="AG111" s="19" cm="1">
        <f t="array" ref="AG111">MAX(IF($C111:$AB111&lt;AC111,$C111:$AB111))</f>
        <v>9.5424685951365606E-2</v>
      </c>
      <c r="AH111" s="20" t="str">
        <f t="shared" si="10"/>
        <v>e</v>
      </c>
      <c r="AI111" s="21" t="str">
        <f t="shared" si="11"/>
        <v>uoeroe</v>
      </c>
      <c r="AJ111" s="22" t="str">
        <f t="shared" si="12"/>
        <v/>
      </c>
    </row>
    <row r="112" spans="1:36" x14ac:dyDescent="0.25">
      <c r="A112" s="2">
        <v>15</v>
      </c>
      <c r="B112" s="2">
        <v>7</v>
      </c>
      <c r="C112" s="2">
        <v>8.6550651146709595E-2</v>
      </c>
      <c r="D112" s="2">
        <v>1.1178978909761401E-2</v>
      </c>
      <c r="E112" s="2">
        <v>5.4857669701509702E-2</v>
      </c>
      <c r="F112" s="2">
        <v>1.7748069609311901E-2</v>
      </c>
      <c r="G112" s="2">
        <v>0.10429872075602099</v>
      </c>
      <c r="H112" s="2">
        <v>1.0257001267719199E-2</v>
      </c>
      <c r="I112" s="2">
        <v>2.2703699435288601E-2</v>
      </c>
      <c r="J112" s="2">
        <v>2.9272790134839199E-2</v>
      </c>
      <c r="K112" s="2">
        <v>0.100841304598363</v>
      </c>
      <c r="L112" s="2">
        <v>1.1524720525527201E-3</v>
      </c>
      <c r="M112" s="2">
        <v>1.49821366831854E-3</v>
      </c>
      <c r="N112" s="2">
        <v>4.7481848565172298E-2</v>
      </c>
      <c r="O112" s="2">
        <v>3.2499711881986797E-2</v>
      </c>
      <c r="P112" s="2">
        <v>5.6355883369828198E-2</v>
      </c>
      <c r="Q112" s="2">
        <v>0.10925435058199801</v>
      </c>
      <c r="R112" s="2">
        <v>4.6559870923130103E-2</v>
      </c>
      <c r="S112" s="2">
        <v>1.61346087357381E-3</v>
      </c>
      <c r="T112" s="2">
        <v>8.3323729399561994E-2</v>
      </c>
      <c r="U112" s="2">
        <v>4.9786792670277698E-2</v>
      </c>
      <c r="V112" s="2">
        <v>6.8111098305865994E-2</v>
      </c>
      <c r="W112" s="2">
        <v>3.7916330528984597E-2</v>
      </c>
      <c r="X112" s="2">
        <v>8.1825515731243498E-3</v>
      </c>
      <c r="Y112" s="2">
        <v>1.2677192578079901E-3</v>
      </c>
      <c r="Z112" s="2">
        <v>3.11167454189235E-3</v>
      </c>
      <c r="AA112" s="2">
        <v>1.25619453728247E-2</v>
      </c>
      <c r="AB112" s="2">
        <v>1.61346087357381E-3</v>
      </c>
      <c r="AC112" s="19">
        <f t="shared" si="7"/>
        <v>0.10925435058199801</v>
      </c>
      <c r="AD112" s="20" t="str">
        <f t="shared" si="8"/>
        <v>o</v>
      </c>
      <c r="AE112" s="21" t="str">
        <f t="shared" si="13"/>
        <v>pnneroo</v>
      </c>
      <c r="AF112" s="22" t="str">
        <f t="shared" si="9"/>
        <v/>
      </c>
      <c r="AG112" s="19" cm="1">
        <f t="array" ref="AG112">MAX(IF($C112:$AB112&lt;AC112,$C112:$AB112))</f>
        <v>0.10429872075602099</v>
      </c>
      <c r="AH112" s="20" t="str">
        <f t="shared" si="10"/>
        <v>e</v>
      </c>
      <c r="AI112" s="21" t="str">
        <f t="shared" si="11"/>
        <v>uoeroee</v>
      </c>
      <c r="AJ112" s="22" t="str">
        <f t="shared" si="12"/>
        <v/>
      </c>
    </row>
    <row r="113" spans="1:36" x14ac:dyDescent="0.25">
      <c r="A113" s="2">
        <v>15</v>
      </c>
      <c r="B113" s="2">
        <v>8</v>
      </c>
      <c r="C113" s="2">
        <v>8.81641120202835E-2</v>
      </c>
      <c r="D113" s="2">
        <v>1.35991702201221E-2</v>
      </c>
      <c r="E113" s="2">
        <v>4.9325803849256597E-2</v>
      </c>
      <c r="F113" s="2">
        <v>2.02835081249279E-2</v>
      </c>
      <c r="G113" s="2">
        <v>9.0930044946409994E-2</v>
      </c>
      <c r="H113" s="2">
        <v>1.83243056355883E-2</v>
      </c>
      <c r="I113" s="2">
        <v>2.02835081249279E-2</v>
      </c>
      <c r="J113" s="2">
        <v>2.29341938457992E-2</v>
      </c>
      <c r="K113" s="2">
        <v>8.7011639967730703E-2</v>
      </c>
      <c r="L113" s="2">
        <v>4.6098882102108999E-4</v>
      </c>
      <c r="M113" s="2">
        <v>1.38296646306327E-3</v>
      </c>
      <c r="N113" s="2">
        <v>6.0504782759018001E-2</v>
      </c>
      <c r="O113" s="2">
        <v>3.5841880834389703E-2</v>
      </c>
      <c r="P113" s="2">
        <v>6.6612884637547498E-2</v>
      </c>
      <c r="Q113" s="2">
        <v>9.0930044946409994E-2</v>
      </c>
      <c r="R113" s="2">
        <v>3.4458914371326498E-2</v>
      </c>
      <c r="S113" s="2">
        <v>1.38296646306327E-3</v>
      </c>
      <c r="T113" s="2">
        <v>8.4360954246859493E-2</v>
      </c>
      <c r="U113" s="2">
        <v>6.2002996427336601E-2</v>
      </c>
      <c r="V113" s="2">
        <v>9.6346663593407794E-2</v>
      </c>
      <c r="W113" s="2">
        <v>2.7083093234989E-2</v>
      </c>
      <c r="X113" s="2">
        <v>9.7960124466981591E-3</v>
      </c>
      <c r="Y113" s="2">
        <v>1.38296646306327E-3</v>
      </c>
      <c r="Z113" s="2">
        <v>2.1896968998501702E-3</v>
      </c>
      <c r="AA113" s="2">
        <v>1.26771925780799E-2</v>
      </c>
      <c r="AB113" s="2">
        <v>1.72870807882908E-3</v>
      </c>
      <c r="AC113" s="19">
        <f t="shared" si="7"/>
        <v>9.6346663593407794E-2</v>
      </c>
      <c r="AD113" s="20" t="str">
        <f t="shared" si="8"/>
        <v>t</v>
      </c>
      <c r="AE113" s="21" t="str">
        <f t="shared" si="13"/>
        <v>pnneroot</v>
      </c>
      <c r="AF113" s="22" t="str">
        <f t="shared" si="9"/>
        <v/>
      </c>
      <c r="AG113" s="19" cm="1">
        <f t="array" ref="AG113">MAX(IF($C113:$AB113&lt;AC113,$C113:$AB113))</f>
        <v>9.0930044946409994E-2</v>
      </c>
      <c r="AH113" s="20" t="str">
        <f t="shared" si="10"/>
        <v>e</v>
      </c>
      <c r="AI113" s="21" t="str">
        <f t="shared" si="11"/>
        <v>uoeroeee</v>
      </c>
      <c r="AJ113" s="22" t="str">
        <f t="shared" si="12"/>
        <v/>
      </c>
    </row>
    <row r="114" spans="1:36" x14ac:dyDescent="0.25">
      <c r="A114" s="2">
        <v>15</v>
      </c>
      <c r="B114" s="2">
        <v>9</v>
      </c>
      <c r="C114" s="2">
        <v>9.2658753025239099E-2</v>
      </c>
      <c r="D114" s="2">
        <v>3.0771003803157702E-2</v>
      </c>
      <c r="E114" s="2">
        <v>4.6905612538895899E-2</v>
      </c>
      <c r="F114" s="2">
        <v>1.99377665091621E-2</v>
      </c>
      <c r="G114" s="2">
        <v>6.64976374322922E-2</v>
      </c>
      <c r="H114" s="2">
        <v>1.09484844992508E-2</v>
      </c>
      <c r="I114" s="2">
        <v>2.5469632361415199E-2</v>
      </c>
      <c r="J114" s="2">
        <v>2.8581306903307499E-2</v>
      </c>
      <c r="K114" s="2">
        <v>0.163651031462487</v>
      </c>
      <c r="L114" s="2">
        <v>3.4574161576581702E-4</v>
      </c>
      <c r="M114" s="2">
        <v>2.99642733663708E-3</v>
      </c>
      <c r="N114" s="2">
        <v>4.47159156390457E-2</v>
      </c>
      <c r="O114" s="2">
        <v>3.01947677768814E-2</v>
      </c>
      <c r="P114" s="2">
        <v>5.1630747954362101E-2</v>
      </c>
      <c r="Q114" s="2">
        <v>9.0814797741154696E-2</v>
      </c>
      <c r="R114" s="2">
        <v>2.90422957243286E-2</v>
      </c>
      <c r="S114" s="2">
        <v>1.49821366831854E-3</v>
      </c>
      <c r="T114" s="2">
        <v>7.1338020053013707E-2</v>
      </c>
      <c r="U114" s="2">
        <v>4.20652299181744E-2</v>
      </c>
      <c r="V114" s="2">
        <v>9.7960124466981602E-2</v>
      </c>
      <c r="W114" s="2">
        <v>3.2499711881986797E-2</v>
      </c>
      <c r="X114" s="2">
        <v>5.9928546732741696E-3</v>
      </c>
      <c r="Y114" s="2">
        <v>4.6098882102108999E-4</v>
      </c>
      <c r="Z114" s="2">
        <v>2.7659329261265401E-3</v>
      </c>
      <c r="AA114" s="2">
        <v>7.3758211363374399E-3</v>
      </c>
      <c r="AB114" s="2">
        <v>2.8811801313818101E-3</v>
      </c>
      <c r="AC114" s="19">
        <f t="shared" si="7"/>
        <v>0.163651031462487</v>
      </c>
      <c r="AD114" s="20" t="str">
        <f t="shared" si="8"/>
        <v>i</v>
      </c>
      <c r="AE114" s="21" t="str">
        <f t="shared" si="13"/>
        <v>pnnerooti</v>
      </c>
      <c r="AF114" s="22" t="str">
        <f t="shared" si="9"/>
        <v/>
      </c>
      <c r="AG114" s="19" cm="1">
        <f t="array" ref="AG114">MAX(IF($C114:$AB114&lt;AC114,$C114:$AB114))</f>
        <v>9.7960124466981602E-2</v>
      </c>
      <c r="AH114" s="20" t="str">
        <f t="shared" si="10"/>
        <v>t</v>
      </c>
      <c r="AI114" s="21" t="str">
        <f t="shared" si="11"/>
        <v>uoeroeeet</v>
      </c>
      <c r="AJ114" s="22" t="str">
        <f t="shared" si="12"/>
        <v/>
      </c>
    </row>
    <row r="115" spans="1:36" x14ac:dyDescent="0.25">
      <c r="A115" s="2">
        <v>15</v>
      </c>
      <c r="B115" s="2">
        <v>10</v>
      </c>
      <c r="C115" s="2">
        <v>8.0327302062924905E-2</v>
      </c>
      <c r="D115" s="2">
        <v>3.0310014982136601E-2</v>
      </c>
      <c r="E115" s="2">
        <v>4.5407398870577299E-2</v>
      </c>
      <c r="F115" s="2">
        <v>1.2100956551803601E-2</v>
      </c>
      <c r="G115" s="2">
        <v>7.8713841189351097E-2</v>
      </c>
      <c r="H115" s="2">
        <v>6.33859628903999E-3</v>
      </c>
      <c r="I115" s="2">
        <v>1.8209058430332999E-2</v>
      </c>
      <c r="J115" s="2">
        <v>2.8466059698052298E-2</v>
      </c>
      <c r="K115" s="2">
        <v>0.130344589143713</v>
      </c>
      <c r="L115" s="2">
        <v>0</v>
      </c>
      <c r="M115" s="2">
        <v>1.38296646306327E-3</v>
      </c>
      <c r="N115" s="2">
        <v>7.7446121931543099E-2</v>
      </c>
      <c r="O115" s="2">
        <v>2.78898236717759E-2</v>
      </c>
      <c r="P115" s="2">
        <v>6.7880603895355496E-2</v>
      </c>
      <c r="Q115" s="2">
        <v>6.53451653797395E-2</v>
      </c>
      <c r="R115" s="2">
        <v>2.59306211824363E-2</v>
      </c>
      <c r="S115" s="2">
        <v>0</v>
      </c>
      <c r="T115" s="2">
        <v>6.53451653797395E-2</v>
      </c>
      <c r="U115" s="2">
        <v>4.4485421228535202E-2</v>
      </c>
      <c r="V115" s="2">
        <v>9.1160539356920506E-2</v>
      </c>
      <c r="W115" s="2">
        <v>5.4050939264722798E-2</v>
      </c>
      <c r="X115" s="2">
        <v>1.8209058430332999E-2</v>
      </c>
      <c r="Y115" s="2">
        <v>9.2197764204217999E-4</v>
      </c>
      <c r="Z115" s="2">
        <v>4.6098882102108999E-4</v>
      </c>
      <c r="AA115" s="2">
        <v>8.2977987783796198E-3</v>
      </c>
      <c r="AB115" s="2">
        <v>2.09749913564596E-2</v>
      </c>
      <c r="AC115" s="19">
        <f t="shared" si="7"/>
        <v>0.130344589143713</v>
      </c>
      <c r="AD115" s="20" t="str">
        <f t="shared" si="8"/>
        <v>i</v>
      </c>
      <c r="AE115" s="21" t="str">
        <f t="shared" si="13"/>
        <v>pnnerootii</v>
      </c>
      <c r="AF115" s="22" t="str">
        <f t="shared" si="9"/>
        <v/>
      </c>
      <c r="AG115" s="19" cm="1">
        <f t="array" ref="AG115">MAX(IF($C115:$AB115&lt;AC115,$C115:$AB115))</f>
        <v>9.1160539356920506E-2</v>
      </c>
      <c r="AH115" s="20" t="str">
        <f t="shared" si="10"/>
        <v>t</v>
      </c>
      <c r="AI115" s="21" t="str">
        <f t="shared" si="11"/>
        <v>uoeroeeett</v>
      </c>
      <c r="AJ115" s="22" t="str">
        <f t="shared" si="12"/>
        <v/>
      </c>
    </row>
    <row r="116" spans="1:36" x14ac:dyDescent="0.25">
      <c r="A116" s="2">
        <v>15</v>
      </c>
      <c r="B116" s="2">
        <v>11</v>
      </c>
      <c r="C116" s="2">
        <v>0.16952863893050499</v>
      </c>
      <c r="D116" s="2">
        <v>5.5318658522530801E-3</v>
      </c>
      <c r="E116" s="2">
        <v>8.9201336867580902E-2</v>
      </c>
      <c r="F116" s="2">
        <v>2.7083093234989E-2</v>
      </c>
      <c r="G116" s="2">
        <v>9.9112596519534399E-2</v>
      </c>
      <c r="H116" s="2">
        <v>3.45741615765817E-3</v>
      </c>
      <c r="I116" s="2">
        <v>2.5700126771925701E-2</v>
      </c>
      <c r="J116" s="2">
        <v>2.86965541085628E-2</v>
      </c>
      <c r="K116" s="2">
        <v>0.14359801774806899</v>
      </c>
      <c r="L116" s="2">
        <v>0</v>
      </c>
      <c r="M116" s="2">
        <v>8.0673043678690696E-4</v>
      </c>
      <c r="N116" s="2">
        <v>5.1054511928085702E-2</v>
      </c>
      <c r="O116" s="2">
        <v>2.10902385617148E-2</v>
      </c>
      <c r="P116" s="2">
        <v>5.2206983980638402E-2</v>
      </c>
      <c r="Q116" s="2">
        <v>7.7676616342053695E-2</v>
      </c>
      <c r="R116" s="2">
        <v>1.79785640198225E-2</v>
      </c>
      <c r="S116" s="2">
        <v>3.4574161576581702E-4</v>
      </c>
      <c r="T116" s="2">
        <v>5.0017287080788203E-2</v>
      </c>
      <c r="U116" s="2">
        <v>4.9095309438746099E-2</v>
      </c>
      <c r="V116" s="2">
        <v>6.2579232453613007E-2</v>
      </c>
      <c r="W116" s="2">
        <v>1.30229341938457E-2</v>
      </c>
      <c r="X116" s="2">
        <v>2.3049441051054501E-3</v>
      </c>
      <c r="Y116" s="2">
        <v>2.30494410510545E-4</v>
      </c>
      <c r="Z116" s="2">
        <v>5.7623602627636199E-4</v>
      </c>
      <c r="AA116" s="2">
        <v>7.7215627521032603E-3</v>
      </c>
      <c r="AB116" s="2">
        <v>1.38296646306327E-3</v>
      </c>
      <c r="AC116" s="19">
        <f t="shared" si="7"/>
        <v>0.16952863893050499</v>
      </c>
      <c r="AD116" s="20" t="str">
        <f t="shared" si="8"/>
        <v>a</v>
      </c>
      <c r="AE116" s="21" t="str">
        <f t="shared" si="13"/>
        <v>pnnerootiia</v>
      </c>
      <c r="AF116" s="22" t="str">
        <f t="shared" si="9"/>
        <v/>
      </c>
      <c r="AG116" s="19" cm="1">
        <f t="array" ref="AG116">MAX(IF($C116:$AB116&lt;AC116,$C116:$AB116))</f>
        <v>0.14359801774806899</v>
      </c>
      <c r="AH116" s="20" t="str">
        <f t="shared" si="10"/>
        <v>i</v>
      </c>
      <c r="AI116" s="21" t="str">
        <f t="shared" si="11"/>
        <v>uoeroeeetti</v>
      </c>
      <c r="AJ116" s="22" t="str">
        <f t="shared" si="12"/>
        <v/>
      </c>
    </row>
    <row r="117" spans="1:36" x14ac:dyDescent="0.25">
      <c r="A117" s="2">
        <v>15</v>
      </c>
      <c r="B117" s="2">
        <v>12</v>
      </c>
      <c r="C117" s="2">
        <v>0.12815489224386301</v>
      </c>
      <c r="D117" s="2">
        <v>2.99642733663708E-3</v>
      </c>
      <c r="E117" s="2">
        <v>1.99377665091621E-2</v>
      </c>
      <c r="F117" s="2">
        <v>8.7587875994007101E-3</v>
      </c>
      <c r="G117" s="2">
        <v>5.0593523107064602E-2</v>
      </c>
      <c r="H117" s="2">
        <v>3.11167454189235E-3</v>
      </c>
      <c r="I117" s="2">
        <v>1.25619453728247E-2</v>
      </c>
      <c r="J117" s="2">
        <v>1.8554800046098802E-2</v>
      </c>
      <c r="K117" s="2">
        <v>9.7614382851215806E-2</v>
      </c>
      <c r="L117" s="2">
        <v>0</v>
      </c>
      <c r="M117" s="2">
        <v>3.4574161576581702E-4</v>
      </c>
      <c r="N117" s="2">
        <v>7.6985133110522005E-2</v>
      </c>
      <c r="O117" s="2">
        <v>1.8785294456609401E-2</v>
      </c>
      <c r="P117" s="2">
        <v>0.17621297683531101</v>
      </c>
      <c r="Q117" s="2">
        <v>3.9990780223579499E-2</v>
      </c>
      <c r="R117" s="2">
        <v>1.4060159041143201E-2</v>
      </c>
      <c r="S117" s="2">
        <v>0</v>
      </c>
      <c r="T117" s="2">
        <v>4.4370174023279897E-2</v>
      </c>
      <c r="U117" s="2">
        <v>4.5522646075832597E-2</v>
      </c>
      <c r="V117" s="2">
        <v>0.16549498674657101</v>
      </c>
      <c r="W117" s="2">
        <v>3.6072375244900298E-2</v>
      </c>
      <c r="X117" s="2">
        <v>1.8209058430332999E-2</v>
      </c>
      <c r="Y117" s="2">
        <v>5.7623602627636199E-4</v>
      </c>
      <c r="Z117" s="2">
        <v>2.30494410510545E-4</v>
      </c>
      <c r="AA117" s="2">
        <v>8.7587875994007101E-3</v>
      </c>
      <c r="AB117" s="2">
        <v>1.2100956551803601E-2</v>
      </c>
      <c r="AC117" s="19">
        <f t="shared" si="7"/>
        <v>0.17621297683531101</v>
      </c>
      <c r="AD117" s="20" t="str">
        <f t="shared" si="8"/>
        <v>n</v>
      </c>
      <c r="AE117" s="21" t="str">
        <f t="shared" si="13"/>
        <v>pnnerootiian</v>
      </c>
      <c r="AF117" s="22" t="str">
        <f t="shared" si="9"/>
        <v/>
      </c>
      <c r="AG117" s="19" cm="1">
        <f t="array" ref="AG117">MAX(IF($C117:$AB117&lt;AC117,$C117:$AB117))</f>
        <v>0.16549498674657101</v>
      </c>
      <c r="AH117" s="20" t="str">
        <f t="shared" si="10"/>
        <v>t</v>
      </c>
      <c r="AI117" s="21" t="str">
        <f t="shared" si="11"/>
        <v>uoeroeeettit</v>
      </c>
      <c r="AJ117" s="22" t="str">
        <f t="shared" si="12"/>
        <v/>
      </c>
    </row>
    <row r="118" spans="1:36" x14ac:dyDescent="0.25">
      <c r="A118" s="2">
        <v>15</v>
      </c>
      <c r="B118" s="2">
        <v>13</v>
      </c>
      <c r="C118" s="2">
        <v>3.9760285813069E-2</v>
      </c>
      <c r="D118" s="2">
        <v>2.2473205024778099E-2</v>
      </c>
      <c r="E118" s="2">
        <v>3.5841880834389703E-2</v>
      </c>
      <c r="F118" s="2">
        <v>8.1825515731243498E-3</v>
      </c>
      <c r="G118" s="2">
        <v>0.16676270600437901</v>
      </c>
      <c r="H118" s="2">
        <v>1.0372248472974501E-3</v>
      </c>
      <c r="I118" s="2">
        <v>1.4636395067419599E-2</v>
      </c>
      <c r="J118" s="2">
        <v>1.5673619914717E-2</v>
      </c>
      <c r="K118" s="2">
        <v>0.29607007030079502</v>
      </c>
      <c r="L118" s="2">
        <v>0</v>
      </c>
      <c r="M118" s="2">
        <v>5.7623602627636199E-4</v>
      </c>
      <c r="N118" s="2">
        <v>8.3669471015327804E-2</v>
      </c>
      <c r="O118" s="2">
        <v>6.7995851100610804E-3</v>
      </c>
      <c r="P118" s="2">
        <v>3.6418116860666101E-2</v>
      </c>
      <c r="Q118" s="2">
        <v>8.1479774115477702E-2</v>
      </c>
      <c r="R118" s="2">
        <v>1.0257001267719199E-2</v>
      </c>
      <c r="S118" s="2">
        <v>0</v>
      </c>
      <c r="T118" s="2">
        <v>2.3279935461565E-2</v>
      </c>
      <c r="U118" s="2">
        <v>6.2694479658868194E-2</v>
      </c>
      <c r="V118" s="2">
        <v>7.4910683415927104E-2</v>
      </c>
      <c r="W118" s="2">
        <v>3.45741615765817E-3</v>
      </c>
      <c r="X118" s="2">
        <v>1.49821366831854E-3</v>
      </c>
      <c r="Y118" s="2">
        <v>0</v>
      </c>
      <c r="Z118" s="2">
        <v>1.84395528408436E-3</v>
      </c>
      <c r="AA118" s="2">
        <v>3.22692174714763E-3</v>
      </c>
      <c r="AB118" s="2">
        <v>9.4502708309323492E-3</v>
      </c>
      <c r="AC118" s="19">
        <f t="shared" si="7"/>
        <v>0.29607007030079502</v>
      </c>
      <c r="AD118" s="20" t="str">
        <f t="shared" si="8"/>
        <v>i</v>
      </c>
      <c r="AE118" s="21" t="str">
        <f t="shared" si="13"/>
        <v>pnnerootiiani</v>
      </c>
      <c r="AF118" s="22" t="str">
        <f t="shared" si="9"/>
        <v/>
      </c>
      <c r="AG118" s="19" cm="1">
        <f t="array" ref="AG118">MAX(IF($C118:$AB118&lt;AC118,$C118:$AB118))</f>
        <v>0.16676270600437901</v>
      </c>
      <c r="AH118" s="20" t="str">
        <f t="shared" si="10"/>
        <v>e</v>
      </c>
      <c r="AI118" s="21" t="str">
        <f t="shared" si="11"/>
        <v>uoeroeeettite</v>
      </c>
      <c r="AJ118" s="22" t="str">
        <f t="shared" si="12"/>
        <v/>
      </c>
    </row>
    <row r="119" spans="1:36" x14ac:dyDescent="0.25">
      <c r="A119" s="2">
        <v>15</v>
      </c>
      <c r="B119" s="2">
        <v>14</v>
      </c>
      <c r="C119" s="2">
        <v>9.4156966693557595E-2</v>
      </c>
      <c r="D119" s="2">
        <v>0</v>
      </c>
      <c r="E119" s="2">
        <v>1.33686758096116E-2</v>
      </c>
      <c r="F119" s="2">
        <v>5.1861242364872598E-3</v>
      </c>
      <c r="G119" s="2">
        <v>7.7791863547308895E-2</v>
      </c>
      <c r="H119" s="2">
        <v>1.15247205255272E-4</v>
      </c>
      <c r="I119" s="2">
        <v>7.7215627521032603E-3</v>
      </c>
      <c r="J119" s="2">
        <v>8.0673043678690798E-3</v>
      </c>
      <c r="K119" s="2">
        <v>0.11086781145557199</v>
      </c>
      <c r="L119" s="2">
        <v>0</v>
      </c>
      <c r="M119" s="2">
        <v>1.61346087357381E-3</v>
      </c>
      <c r="N119" s="2">
        <v>0.15685144635242501</v>
      </c>
      <c r="O119" s="2">
        <v>7.9520571626137994E-3</v>
      </c>
      <c r="P119" s="2">
        <v>8.8279359225538701E-2</v>
      </c>
      <c r="Q119" s="2">
        <v>9.4272213898812907E-2</v>
      </c>
      <c r="R119" s="2">
        <v>8.5282931888901702E-3</v>
      </c>
      <c r="S119" s="2">
        <v>0</v>
      </c>
      <c r="T119" s="2">
        <v>2.4547654719373001E-2</v>
      </c>
      <c r="U119" s="2">
        <v>0.164803503515039</v>
      </c>
      <c r="V119" s="2">
        <v>6.5690906995505297E-2</v>
      </c>
      <c r="W119" s="2">
        <v>4.4254926818024599E-2</v>
      </c>
      <c r="X119" s="2">
        <v>1.83243056355883E-2</v>
      </c>
      <c r="Y119" s="2">
        <v>0</v>
      </c>
      <c r="Z119" s="2">
        <v>1.15247205255272E-4</v>
      </c>
      <c r="AA119" s="2">
        <v>6.9148323153163502E-4</v>
      </c>
      <c r="AB119" s="2">
        <v>6.7995851100610804E-3</v>
      </c>
      <c r="AC119" s="19">
        <f t="shared" si="7"/>
        <v>0.164803503515039</v>
      </c>
      <c r="AD119" s="20" t="str">
        <f t="shared" si="8"/>
        <v>s</v>
      </c>
      <c r="AE119" s="21" t="str">
        <f t="shared" si="13"/>
        <v>pnnerootiianis</v>
      </c>
      <c r="AF119" s="22" t="str">
        <f t="shared" si="9"/>
        <v/>
      </c>
      <c r="AG119" s="19" cm="1">
        <f t="array" ref="AG119">MAX(IF($C119:$AB119&lt;AC119,$C119:$AB119))</f>
        <v>0.15685144635242501</v>
      </c>
      <c r="AH119" s="20" t="str">
        <f t="shared" si="10"/>
        <v>l</v>
      </c>
      <c r="AI119" s="21" t="str">
        <f t="shared" si="11"/>
        <v>uoeroeeettitel</v>
      </c>
      <c r="AJ119" s="22" t="str">
        <f t="shared" si="12"/>
        <v/>
      </c>
    </row>
    <row r="120" spans="1:36" x14ac:dyDescent="0.25">
      <c r="A120" s="2">
        <v>15</v>
      </c>
      <c r="B120" s="2">
        <v>15</v>
      </c>
      <c r="C120" s="2">
        <v>1.8670047251354099E-2</v>
      </c>
      <c r="D120" s="2">
        <v>0</v>
      </c>
      <c r="E120" s="2">
        <v>5.4857669701509702E-2</v>
      </c>
      <c r="F120" s="2">
        <v>3.6187622450155499E-2</v>
      </c>
      <c r="G120" s="2">
        <v>0.103722484729745</v>
      </c>
      <c r="H120" s="2">
        <v>1.15247205255272E-4</v>
      </c>
      <c r="I120" s="2">
        <v>4.7251354154661702E-2</v>
      </c>
      <c r="J120" s="2">
        <v>4.7251354154661702E-3</v>
      </c>
      <c r="K120" s="2">
        <v>4.6098882102108999E-4</v>
      </c>
      <c r="L120" s="2">
        <v>0</v>
      </c>
      <c r="M120" s="2">
        <v>1.15247205255272E-4</v>
      </c>
      <c r="N120" s="2">
        <v>7.7676616342053695E-2</v>
      </c>
      <c r="O120" s="2">
        <v>2.6161115592946801E-2</v>
      </c>
      <c r="P120" s="2">
        <v>0.10061081018785201</v>
      </c>
      <c r="Q120" s="2">
        <v>1.15247205255272E-4</v>
      </c>
      <c r="R120" s="2">
        <v>4.7251354154661702E-3</v>
      </c>
      <c r="S120" s="2">
        <v>0</v>
      </c>
      <c r="T120" s="2">
        <v>2.17817217932465E-2</v>
      </c>
      <c r="U120" s="2">
        <v>0.25227613230379098</v>
      </c>
      <c r="V120" s="2">
        <v>3.5380892013368602E-2</v>
      </c>
      <c r="W120" s="2">
        <v>0</v>
      </c>
      <c r="X120" s="2">
        <v>0</v>
      </c>
      <c r="Y120" s="2">
        <v>0</v>
      </c>
      <c r="Z120" s="2">
        <v>5.7623602627636199E-4</v>
      </c>
      <c r="AA120" s="2">
        <v>0.214590296185317</v>
      </c>
      <c r="AB120" s="2">
        <v>0</v>
      </c>
      <c r="AC120" s="19">
        <f t="shared" si="7"/>
        <v>0.25227613230379098</v>
      </c>
      <c r="AD120" s="20" t="str">
        <f t="shared" si="8"/>
        <v>s</v>
      </c>
      <c r="AE120" s="21" t="str">
        <f t="shared" si="13"/>
        <v>pnnerootiianiss</v>
      </c>
      <c r="AF120" s="22" t="str">
        <f t="shared" si="9"/>
        <v>pnnerootiianiss</v>
      </c>
      <c r="AG120" s="19" cm="1">
        <f t="array" ref="AG120">MAX(IF($C120:$AB120&lt;AC120,$C120:$AB120))</f>
        <v>0.214590296185317</v>
      </c>
      <c r="AH120" s="20" t="str">
        <f t="shared" si="10"/>
        <v>y</v>
      </c>
      <c r="AI120" s="21" t="str">
        <f t="shared" si="11"/>
        <v>uoeroeeettitely</v>
      </c>
      <c r="AJ120" s="22" t="str">
        <f t="shared" si="12"/>
        <v>uoeroeeettitely</v>
      </c>
    </row>
    <row r="121" spans="1:36" x14ac:dyDescent="0.25">
      <c r="A121" s="2">
        <v>16</v>
      </c>
      <c r="B121" s="2">
        <v>1</v>
      </c>
      <c r="C121" s="2">
        <v>6.3958009331259696E-2</v>
      </c>
      <c r="D121" s="2">
        <v>1.5552099533436999E-2</v>
      </c>
      <c r="E121" s="2">
        <v>7.4844479004665607E-2</v>
      </c>
      <c r="F121" s="2">
        <v>3.46034214618973E-2</v>
      </c>
      <c r="G121" s="2">
        <v>3.2270606531881803E-2</v>
      </c>
      <c r="H121" s="2">
        <v>8.3592534992223896E-3</v>
      </c>
      <c r="I121" s="2">
        <v>9.5256609642301697E-3</v>
      </c>
      <c r="J121" s="2">
        <v>4.0435458786936197E-2</v>
      </c>
      <c r="K121" s="2">
        <v>6.6679626749611198E-2</v>
      </c>
      <c r="L121" s="2">
        <v>9.7200622083981299E-4</v>
      </c>
      <c r="M121" s="2">
        <v>1.1664074650077701E-3</v>
      </c>
      <c r="N121" s="2">
        <v>9.9144634525660906E-3</v>
      </c>
      <c r="O121" s="2">
        <v>4.4712286158631397E-2</v>
      </c>
      <c r="P121" s="2">
        <v>0.113724727838258</v>
      </c>
      <c r="Q121" s="2">
        <v>4.8989113530326499E-2</v>
      </c>
      <c r="R121" s="2">
        <v>0.13394245723172599</v>
      </c>
      <c r="S121" s="2">
        <v>4.0824261275272103E-3</v>
      </c>
      <c r="T121" s="2">
        <v>2.4105754276827301E-2</v>
      </c>
      <c r="U121" s="2">
        <v>0.111780715396578</v>
      </c>
      <c r="V121" s="2">
        <v>3.8102643856920602E-2</v>
      </c>
      <c r="W121" s="2">
        <v>0.11430793157076199</v>
      </c>
      <c r="X121" s="2">
        <v>5.0544323483670299E-3</v>
      </c>
      <c r="Y121" s="2">
        <v>1.9440124416796199E-3</v>
      </c>
      <c r="Z121" s="2">
        <v>3.8880248833592502E-4</v>
      </c>
      <c r="AA121" s="2">
        <v>0</v>
      </c>
      <c r="AB121" s="2">
        <v>5.8320373250388797E-4</v>
      </c>
      <c r="AC121" s="19">
        <f t="shared" si="7"/>
        <v>0.13394245723172599</v>
      </c>
      <c r="AD121" s="20" t="str">
        <f t="shared" si="8"/>
        <v>p</v>
      </c>
      <c r="AE121" s="21" t="str">
        <f t="shared" si="13"/>
        <v>p</v>
      </c>
      <c r="AF121" s="22" t="str">
        <f t="shared" si="9"/>
        <v/>
      </c>
      <c r="AG121" s="19" cm="1">
        <f t="array" ref="AG121">MAX(IF($C121:$AB121&lt;AC121,$C121:$AB121))</f>
        <v>0.11430793157076199</v>
      </c>
      <c r="AH121" s="20" t="str">
        <f t="shared" si="10"/>
        <v>u</v>
      </c>
      <c r="AI121" s="21" t="str">
        <f t="shared" si="11"/>
        <v>u</v>
      </c>
      <c r="AJ121" s="22" t="str">
        <f t="shared" si="12"/>
        <v/>
      </c>
    </row>
    <row r="122" spans="1:36" x14ac:dyDescent="0.25">
      <c r="A122" s="2">
        <v>16</v>
      </c>
      <c r="B122" s="2">
        <v>2</v>
      </c>
      <c r="C122" s="2">
        <v>6.3374805598755801E-2</v>
      </c>
      <c r="D122" s="2">
        <v>2.3328149300155501E-3</v>
      </c>
      <c r="E122" s="2">
        <v>1.45800933125972E-2</v>
      </c>
      <c r="F122" s="2">
        <v>3.8880248833592498E-3</v>
      </c>
      <c r="G122" s="2">
        <v>0.111003110419906</v>
      </c>
      <c r="H122" s="2">
        <v>1.94401244167962E-4</v>
      </c>
      <c r="I122" s="2">
        <v>1.5552099533437001E-3</v>
      </c>
      <c r="J122" s="2">
        <v>4.8600311041990599E-2</v>
      </c>
      <c r="K122" s="2">
        <v>5.5015552099533398E-2</v>
      </c>
      <c r="L122" s="2">
        <v>0</v>
      </c>
      <c r="M122" s="2">
        <v>0</v>
      </c>
      <c r="N122" s="2">
        <v>3.05209953343701E-2</v>
      </c>
      <c r="O122" s="2">
        <v>9.7200622083981301E-3</v>
      </c>
      <c r="P122" s="2">
        <v>0.195956454121306</v>
      </c>
      <c r="Q122" s="2">
        <v>0.16912908242612701</v>
      </c>
      <c r="R122" s="2">
        <v>1.5163297045101E-2</v>
      </c>
      <c r="S122" s="2">
        <v>1.7496111975116599E-3</v>
      </c>
      <c r="T122" s="2">
        <v>8.2231726283048201E-2</v>
      </c>
      <c r="U122" s="2">
        <v>2.8188180404354501E-2</v>
      </c>
      <c r="V122" s="2">
        <v>1.3024883359253499E-2</v>
      </c>
      <c r="W122" s="2">
        <v>7.7566096423017095E-2</v>
      </c>
      <c r="X122" s="2">
        <v>3.4020217729393398E-2</v>
      </c>
      <c r="Y122" s="2">
        <v>1.94401244167962E-4</v>
      </c>
      <c r="Z122" s="2">
        <v>5.8320373250388803E-3</v>
      </c>
      <c r="AA122" s="2">
        <v>3.5769828926905098E-2</v>
      </c>
      <c r="AB122" s="2">
        <v>3.8880248833592502E-4</v>
      </c>
      <c r="AC122" s="19">
        <f t="shared" si="7"/>
        <v>0.195956454121306</v>
      </c>
      <c r="AD122" s="20" t="str">
        <f t="shared" si="8"/>
        <v>n</v>
      </c>
      <c r="AE122" s="21" t="str">
        <f t="shared" si="13"/>
        <v>pn</v>
      </c>
      <c r="AF122" s="22" t="str">
        <f t="shared" si="9"/>
        <v/>
      </c>
      <c r="AG122" s="19" cm="1">
        <f t="array" ref="AG122">MAX(IF($C122:$AB122&lt;AC122,$C122:$AB122))</f>
        <v>0.16912908242612701</v>
      </c>
      <c r="AH122" s="20" t="str">
        <f t="shared" si="10"/>
        <v>o</v>
      </c>
      <c r="AI122" s="21" t="str">
        <f t="shared" si="11"/>
        <v>uo</v>
      </c>
      <c r="AJ122" s="22" t="str">
        <f t="shared" si="12"/>
        <v/>
      </c>
    </row>
    <row r="123" spans="1:36" x14ac:dyDescent="0.25">
      <c r="A123" s="2">
        <v>16</v>
      </c>
      <c r="B123" s="2">
        <v>3</v>
      </c>
      <c r="C123" s="2">
        <v>4.7433903576982801E-2</v>
      </c>
      <c r="D123" s="2">
        <v>1.9828926905132101E-2</v>
      </c>
      <c r="E123" s="2">
        <v>6.1819595645412097E-2</v>
      </c>
      <c r="F123" s="2">
        <v>3.6936236391912902E-2</v>
      </c>
      <c r="G123" s="2">
        <v>0.13102643856920601</v>
      </c>
      <c r="H123" s="2">
        <v>6.8040435458786904E-3</v>
      </c>
      <c r="I123" s="2">
        <v>8.5536547433903501E-3</v>
      </c>
      <c r="J123" s="2">
        <v>1.16640746500777E-2</v>
      </c>
      <c r="K123" s="2">
        <v>3.1298600311041903E-2</v>
      </c>
      <c r="L123" s="2">
        <v>5.8320373250388797E-4</v>
      </c>
      <c r="M123" s="2">
        <v>3.8880248833592502E-4</v>
      </c>
      <c r="N123" s="2">
        <v>4.7822706065318799E-2</v>
      </c>
      <c r="O123" s="2">
        <v>4.3545878693623599E-2</v>
      </c>
      <c r="P123" s="2">
        <v>0.14677293934681099</v>
      </c>
      <c r="Q123" s="2">
        <v>4.8405909797822701E-2</v>
      </c>
      <c r="R123" s="2">
        <v>8.7674961119751094E-2</v>
      </c>
      <c r="S123" s="2">
        <v>5.8320373250388797E-4</v>
      </c>
      <c r="T123" s="2">
        <v>6.3569206842923706E-2</v>
      </c>
      <c r="U123" s="2">
        <v>6.0458786936236297E-2</v>
      </c>
      <c r="V123" s="2">
        <v>9.6423017107309397E-2</v>
      </c>
      <c r="W123" s="2">
        <v>2.3911353032659399E-2</v>
      </c>
      <c r="X123" s="2">
        <v>5.2488335925349903E-3</v>
      </c>
      <c r="Y123" s="2">
        <v>1.94401244167962E-4</v>
      </c>
      <c r="Z123" s="2">
        <v>2.1384136858475802E-3</v>
      </c>
      <c r="AA123" s="2">
        <v>1.6718506998444699E-2</v>
      </c>
      <c r="AB123" s="2">
        <v>1.94401244167962E-4</v>
      </c>
      <c r="AC123" s="19">
        <f t="shared" si="7"/>
        <v>0.14677293934681099</v>
      </c>
      <c r="AD123" s="20" t="str">
        <f t="shared" si="8"/>
        <v>n</v>
      </c>
      <c r="AE123" s="21" t="str">
        <f t="shared" si="13"/>
        <v>pnn</v>
      </c>
      <c r="AF123" s="22" t="str">
        <f t="shared" si="9"/>
        <v/>
      </c>
      <c r="AG123" s="19" cm="1">
        <f t="array" ref="AG123">MAX(IF($C123:$AB123&lt;AC123,$C123:$AB123))</f>
        <v>0.13102643856920601</v>
      </c>
      <c r="AH123" s="20" t="str">
        <f t="shared" si="10"/>
        <v>e</v>
      </c>
      <c r="AI123" s="21" t="str">
        <f t="shared" si="11"/>
        <v>uoe</v>
      </c>
      <c r="AJ123" s="22" t="str">
        <f t="shared" si="12"/>
        <v/>
      </c>
    </row>
    <row r="124" spans="1:36" x14ac:dyDescent="0.25">
      <c r="A124" s="2">
        <v>16</v>
      </c>
      <c r="B124" s="2">
        <v>4</v>
      </c>
      <c r="C124" s="2">
        <v>6.2402799377915999E-2</v>
      </c>
      <c r="D124" s="2">
        <v>7.1928460342146096E-3</v>
      </c>
      <c r="E124" s="2">
        <v>7.4844479004665607E-2</v>
      </c>
      <c r="F124" s="2">
        <v>2.4494556765163201E-2</v>
      </c>
      <c r="G124" s="2">
        <v>0.15454898911352999</v>
      </c>
      <c r="H124" s="2">
        <v>8.3592534992223896E-3</v>
      </c>
      <c r="I124" s="2">
        <v>1.0303265940901999E-2</v>
      </c>
      <c r="J124" s="2">
        <v>2.5272161741835102E-2</v>
      </c>
      <c r="K124" s="2">
        <v>0.108475894245723</v>
      </c>
      <c r="L124" s="2">
        <v>7.7760497667185005E-4</v>
      </c>
      <c r="M124" s="2">
        <v>1.1664074650077701E-3</v>
      </c>
      <c r="N124" s="2">
        <v>1.9440124416796201E-2</v>
      </c>
      <c r="O124" s="2">
        <v>2.1967340590979701E-2</v>
      </c>
      <c r="P124" s="2">
        <v>5.7931570762052798E-2</v>
      </c>
      <c r="Q124" s="2">
        <v>7.7760497667185E-2</v>
      </c>
      <c r="R124" s="2">
        <v>4.0629860031104199E-2</v>
      </c>
      <c r="S124" s="2">
        <v>9.7200622083981299E-4</v>
      </c>
      <c r="T124" s="2">
        <v>0.125194401244167</v>
      </c>
      <c r="U124" s="2">
        <v>3.6936236391912902E-2</v>
      </c>
      <c r="V124" s="2">
        <v>7.9315707620528697E-2</v>
      </c>
      <c r="W124" s="2">
        <v>3.88802488335925E-2</v>
      </c>
      <c r="X124" s="2">
        <v>5.6376360808709104E-3</v>
      </c>
      <c r="Y124" s="2">
        <v>3.8880248833592502E-4</v>
      </c>
      <c r="Z124" s="2">
        <v>4.6656298600311003E-3</v>
      </c>
      <c r="AA124" s="2">
        <v>9.1368584758942401E-3</v>
      </c>
      <c r="AB124" s="2">
        <v>3.3048211508553602E-3</v>
      </c>
      <c r="AC124" s="19">
        <f t="shared" si="7"/>
        <v>0.15454898911352999</v>
      </c>
      <c r="AD124" s="20" t="str">
        <f t="shared" si="8"/>
        <v>e</v>
      </c>
      <c r="AE124" s="21" t="str">
        <f t="shared" si="13"/>
        <v>pnne</v>
      </c>
      <c r="AF124" s="22" t="str">
        <f t="shared" si="9"/>
        <v/>
      </c>
      <c r="AG124" s="19" cm="1">
        <f t="array" ref="AG124">MAX(IF($C124:$AB124&lt;AC124,$C124:$AB124))</f>
        <v>0.125194401244167</v>
      </c>
      <c r="AH124" s="20" t="str">
        <f t="shared" si="10"/>
        <v>r</v>
      </c>
      <c r="AI124" s="21" t="str">
        <f t="shared" si="11"/>
        <v>uoer</v>
      </c>
      <c r="AJ124" s="22" t="str">
        <f t="shared" si="12"/>
        <v/>
      </c>
    </row>
    <row r="125" spans="1:36" x14ac:dyDescent="0.25">
      <c r="A125" s="2">
        <v>16</v>
      </c>
      <c r="B125" s="2">
        <v>5</v>
      </c>
      <c r="C125" s="2">
        <v>6.8429237947122801E-2</v>
      </c>
      <c r="D125" s="2">
        <v>1.34136858475894E-2</v>
      </c>
      <c r="E125" s="2">
        <v>4.4517884914463401E-2</v>
      </c>
      <c r="F125" s="2">
        <v>3.84914463452566E-2</v>
      </c>
      <c r="G125" s="2">
        <v>8.1648522550544306E-2</v>
      </c>
      <c r="H125" s="2">
        <v>1.10808709175738E-2</v>
      </c>
      <c r="I125" s="2">
        <v>1.2830482115085501E-2</v>
      </c>
      <c r="J125" s="2">
        <v>4.1601866251944002E-2</v>
      </c>
      <c r="K125" s="2">
        <v>5.55987558320373E-2</v>
      </c>
      <c r="L125" s="2">
        <v>0</v>
      </c>
      <c r="M125" s="2">
        <v>2.3328149300155501E-3</v>
      </c>
      <c r="N125" s="2">
        <v>2.9743390357698199E-2</v>
      </c>
      <c r="O125" s="2">
        <v>3.96578538102643E-2</v>
      </c>
      <c r="P125" s="2">
        <v>6.4541213063763606E-2</v>
      </c>
      <c r="Q125" s="2">
        <v>0.13627527216174101</v>
      </c>
      <c r="R125" s="2">
        <v>4.3157076205287699E-2</v>
      </c>
      <c r="S125" s="2">
        <v>2.3328149300155501E-3</v>
      </c>
      <c r="T125" s="2">
        <v>0.14696734059097899</v>
      </c>
      <c r="U125" s="2">
        <v>4.6073094867807099E-2</v>
      </c>
      <c r="V125" s="2">
        <v>7.2706065318818E-2</v>
      </c>
      <c r="W125" s="2">
        <v>2.4105754276827301E-2</v>
      </c>
      <c r="X125" s="2">
        <v>4.8600311041990599E-3</v>
      </c>
      <c r="Y125" s="2">
        <v>3.8880248833592502E-4</v>
      </c>
      <c r="Z125" s="2">
        <v>5.6376360808709104E-3</v>
      </c>
      <c r="AA125" s="2">
        <v>1.26360808709175E-2</v>
      </c>
      <c r="AB125" s="2">
        <v>9.7200622083981299E-4</v>
      </c>
      <c r="AC125" s="19">
        <f t="shared" si="7"/>
        <v>0.14696734059097899</v>
      </c>
      <c r="AD125" s="20" t="str">
        <f t="shared" si="8"/>
        <v>r</v>
      </c>
      <c r="AE125" s="21" t="str">
        <f t="shared" si="13"/>
        <v>pnner</v>
      </c>
      <c r="AF125" s="22" t="str">
        <f t="shared" si="9"/>
        <v/>
      </c>
      <c r="AG125" s="19" cm="1">
        <f t="array" ref="AG125">MAX(IF($C125:$AB125&lt;AC125,$C125:$AB125))</f>
        <v>0.13627527216174101</v>
      </c>
      <c r="AH125" s="20" t="str">
        <f t="shared" si="10"/>
        <v>o</v>
      </c>
      <c r="AI125" s="21" t="str">
        <f t="shared" si="11"/>
        <v>uoero</v>
      </c>
      <c r="AJ125" s="22" t="str">
        <f t="shared" si="12"/>
        <v/>
      </c>
    </row>
    <row r="126" spans="1:36" x14ac:dyDescent="0.25">
      <c r="A126" s="2">
        <v>16</v>
      </c>
      <c r="B126" s="2">
        <v>6</v>
      </c>
      <c r="C126" s="2">
        <v>6.4735614307931497E-2</v>
      </c>
      <c r="D126" s="2">
        <v>1.18584758942457E-2</v>
      </c>
      <c r="E126" s="2">
        <v>6.7262830482114996E-2</v>
      </c>
      <c r="F126" s="2">
        <v>2.5660964230171002E-2</v>
      </c>
      <c r="G126" s="2">
        <v>8.3398133748055894E-2</v>
      </c>
      <c r="H126" s="2">
        <v>1.6718506998444699E-2</v>
      </c>
      <c r="I126" s="2">
        <v>3.1104199066873998E-2</v>
      </c>
      <c r="J126" s="2">
        <v>3.71306376360808E-2</v>
      </c>
      <c r="K126" s="2">
        <v>6.5902021772939301E-2</v>
      </c>
      <c r="L126" s="2">
        <v>1.5552099533437001E-3</v>
      </c>
      <c r="M126" s="2">
        <v>7.7760497667185005E-4</v>
      </c>
      <c r="N126" s="2">
        <v>4.0435458786936197E-2</v>
      </c>
      <c r="O126" s="2">
        <v>4.1601866251944002E-2</v>
      </c>
      <c r="P126" s="2">
        <v>5.8320373250388802E-2</v>
      </c>
      <c r="Q126" s="2">
        <v>0.130054432348367</v>
      </c>
      <c r="R126" s="2">
        <v>5.5404354587869298E-2</v>
      </c>
      <c r="S126" s="2">
        <v>2.9160186625194402E-3</v>
      </c>
      <c r="T126" s="2">
        <v>8.2426127527216106E-2</v>
      </c>
      <c r="U126" s="2">
        <v>5.7542768273716897E-2</v>
      </c>
      <c r="V126" s="2">
        <v>6.8040435458786894E-2</v>
      </c>
      <c r="W126" s="2">
        <v>2.3328149300155501E-2</v>
      </c>
      <c r="X126" s="2">
        <v>1.3608087091757299E-2</v>
      </c>
      <c r="Y126" s="2">
        <v>9.7200622083981299E-4</v>
      </c>
      <c r="Z126" s="2">
        <v>3.4992223950233198E-3</v>
      </c>
      <c r="AA126" s="2">
        <v>1.39968895800933E-2</v>
      </c>
      <c r="AB126" s="2">
        <v>1.7496111975116599E-3</v>
      </c>
      <c r="AC126" s="19">
        <f t="shared" si="7"/>
        <v>0.130054432348367</v>
      </c>
      <c r="AD126" s="20" t="str">
        <f t="shared" si="8"/>
        <v>o</v>
      </c>
      <c r="AE126" s="21" t="str">
        <f t="shared" si="13"/>
        <v>pnnero</v>
      </c>
      <c r="AF126" s="22" t="str">
        <f t="shared" si="9"/>
        <v/>
      </c>
      <c r="AG126" s="19" cm="1">
        <f t="array" ref="AG126">MAX(IF($C126:$AB126&lt;AC126,$C126:$AB126))</f>
        <v>8.3398133748055894E-2</v>
      </c>
      <c r="AH126" s="20" t="str">
        <f t="shared" si="10"/>
        <v>e</v>
      </c>
      <c r="AI126" s="21" t="str">
        <f t="shared" si="11"/>
        <v>uoeroe</v>
      </c>
      <c r="AJ126" s="22" t="str">
        <f t="shared" si="12"/>
        <v/>
      </c>
    </row>
    <row r="127" spans="1:36" x14ac:dyDescent="0.25">
      <c r="A127" s="2">
        <v>16</v>
      </c>
      <c r="B127" s="2">
        <v>7</v>
      </c>
      <c r="C127" s="2">
        <v>6.2208398133747997E-2</v>
      </c>
      <c r="D127" s="2">
        <v>1.41912908242612E-2</v>
      </c>
      <c r="E127" s="2">
        <v>4.4906687402799302E-2</v>
      </c>
      <c r="F127" s="2">
        <v>1.5552099533436999E-2</v>
      </c>
      <c r="G127" s="2">
        <v>0.125194401244167</v>
      </c>
      <c r="H127" s="2">
        <v>9.5256609642301697E-3</v>
      </c>
      <c r="I127" s="2">
        <v>1.78849144634525E-2</v>
      </c>
      <c r="J127" s="2">
        <v>3.3631415241057498E-2</v>
      </c>
      <c r="K127" s="2">
        <v>7.44556765163297E-2</v>
      </c>
      <c r="L127" s="2">
        <v>1.5552099533437001E-3</v>
      </c>
      <c r="M127" s="2">
        <v>9.7200622083981299E-4</v>
      </c>
      <c r="N127" s="2">
        <v>4.8600311041990599E-2</v>
      </c>
      <c r="O127" s="2">
        <v>3.84914463452566E-2</v>
      </c>
      <c r="P127" s="2">
        <v>5.9681181959564497E-2</v>
      </c>
      <c r="Q127" s="2">
        <v>0.13160964230170999</v>
      </c>
      <c r="R127" s="2">
        <v>4.3351477449455597E-2</v>
      </c>
      <c r="S127" s="2">
        <v>1.5552099533437001E-3</v>
      </c>
      <c r="T127" s="2">
        <v>9.7200622083981295E-2</v>
      </c>
      <c r="U127" s="2">
        <v>4.9961119751166398E-2</v>
      </c>
      <c r="V127" s="2">
        <v>6.6874027993779103E-2</v>
      </c>
      <c r="W127" s="2">
        <v>3.4992223950233201E-2</v>
      </c>
      <c r="X127" s="2">
        <v>5.0544323483670299E-3</v>
      </c>
      <c r="Y127" s="2">
        <v>1.3608087091757301E-3</v>
      </c>
      <c r="Z127" s="2">
        <v>4.4712286158631398E-3</v>
      </c>
      <c r="AA127" s="2">
        <v>1.5746500777604901E-2</v>
      </c>
      <c r="AB127" s="2">
        <v>9.7200622083981299E-4</v>
      </c>
      <c r="AC127" s="19">
        <f t="shared" si="7"/>
        <v>0.13160964230170999</v>
      </c>
      <c r="AD127" s="20" t="str">
        <f t="shared" si="8"/>
        <v>o</v>
      </c>
      <c r="AE127" s="21" t="str">
        <f t="shared" si="13"/>
        <v>pnneroo</v>
      </c>
      <c r="AF127" s="22" t="str">
        <f t="shared" si="9"/>
        <v/>
      </c>
      <c r="AG127" s="19" cm="1">
        <f t="array" ref="AG127">MAX(IF($C127:$AB127&lt;AC127,$C127:$AB127))</f>
        <v>0.125194401244167</v>
      </c>
      <c r="AH127" s="20" t="str">
        <f t="shared" si="10"/>
        <v>e</v>
      </c>
      <c r="AI127" s="21" t="str">
        <f t="shared" si="11"/>
        <v>uoeroee</v>
      </c>
      <c r="AJ127" s="22" t="str">
        <f t="shared" si="12"/>
        <v/>
      </c>
    </row>
    <row r="128" spans="1:36" x14ac:dyDescent="0.25">
      <c r="A128" s="2">
        <v>16</v>
      </c>
      <c r="B128" s="2">
        <v>8</v>
      </c>
      <c r="C128" s="2">
        <v>8.9618973561430795E-2</v>
      </c>
      <c r="D128" s="2">
        <v>1.0497667185069901E-2</v>
      </c>
      <c r="E128" s="2">
        <v>5.9681181959564497E-2</v>
      </c>
      <c r="F128" s="2">
        <v>1.9440124416796201E-2</v>
      </c>
      <c r="G128" s="2">
        <v>8.6897356143079293E-2</v>
      </c>
      <c r="H128" s="2">
        <v>1.18584758942457E-2</v>
      </c>
      <c r="I128" s="2">
        <v>2.3133748055987498E-2</v>
      </c>
      <c r="J128" s="2">
        <v>3.3048211508553603E-2</v>
      </c>
      <c r="K128" s="2">
        <v>9.8950233281492994E-2</v>
      </c>
      <c r="L128" s="2">
        <v>1.94401244167962E-4</v>
      </c>
      <c r="M128" s="2">
        <v>1.1664074650077701E-3</v>
      </c>
      <c r="N128" s="2">
        <v>5.2682737169517803E-2</v>
      </c>
      <c r="O128" s="2">
        <v>3.8685847589424498E-2</v>
      </c>
      <c r="P128" s="2">
        <v>7.1928460342146103E-2</v>
      </c>
      <c r="Q128" s="2">
        <v>7.8343701399688895E-2</v>
      </c>
      <c r="R128" s="2">
        <v>3.5964230171073003E-2</v>
      </c>
      <c r="S128" s="2">
        <v>2.1384136858475802E-3</v>
      </c>
      <c r="T128" s="2">
        <v>9.15629860031104E-2</v>
      </c>
      <c r="U128" s="2">
        <v>5.6959564541213002E-2</v>
      </c>
      <c r="V128" s="2">
        <v>8.0093312597200594E-2</v>
      </c>
      <c r="W128" s="2">
        <v>2.8965785381026399E-2</v>
      </c>
      <c r="X128" s="2">
        <v>6.60964230171073E-3</v>
      </c>
      <c r="Y128" s="2">
        <v>1.3608087091757301E-3</v>
      </c>
      <c r="Z128" s="2">
        <v>2.9160186625194402E-3</v>
      </c>
      <c r="AA128" s="2">
        <v>1.6329704510108799E-2</v>
      </c>
      <c r="AB128" s="2">
        <v>9.7200622083981299E-4</v>
      </c>
      <c r="AC128" s="19">
        <f t="shared" si="7"/>
        <v>9.8950233281492994E-2</v>
      </c>
      <c r="AD128" s="20" t="str">
        <f t="shared" si="8"/>
        <v>i</v>
      </c>
      <c r="AE128" s="21" t="str">
        <f t="shared" si="13"/>
        <v>pnnerooi</v>
      </c>
      <c r="AF128" s="22" t="str">
        <f t="shared" si="9"/>
        <v/>
      </c>
      <c r="AG128" s="19" cm="1">
        <f t="array" ref="AG128">MAX(IF($C128:$AB128&lt;AC128,$C128:$AB128))</f>
        <v>9.15629860031104E-2</v>
      </c>
      <c r="AH128" s="20" t="str">
        <f t="shared" si="10"/>
        <v>r</v>
      </c>
      <c r="AI128" s="21" t="str">
        <f t="shared" si="11"/>
        <v>uoeroeer</v>
      </c>
      <c r="AJ128" s="22" t="str">
        <f t="shared" si="12"/>
        <v/>
      </c>
    </row>
    <row r="129" spans="1:36" x14ac:dyDescent="0.25">
      <c r="A129" s="2">
        <v>16</v>
      </c>
      <c r="B129" s="2">
        <v>9</v>
      </c>
      <c r="C129" s="2">
        <v>0.102838258164852</v>
      </c>
      <c r="D129" s="2">
        <v>1.5163297045101E-2</v>
      </c>
      <c r="E129" s="2">
        <v>4.4906687402799302E-2</v>
      </c>
      <c r="F129" s="2">
        <v>1.38024883359253E-2</v>
      </c>
      <c r="G129" s="2">
        <v>8.3398133748055894E-2</v>
      </c>
      <c r="H129" s="2">
        <v>1.41912908242612E-2</v>
      </c>
      <c r="I129" s="2">
        <v>1.8079315707620499E-2</v>
      </c>
      <c r="J129" s="2">
        <v>2.7799377916018601E-2</v>
      </c>
      <c r="K129" s="2">
        <v>9.6034214618973504E-2</v>
      </c>
      <c r="L129" s="2">
        <v>0</v>
      </c>
      <c r="M129" s="2">
        <v>3.8880248833592502E-4</v>
      </c>
      <c r="N129" s="2">
        <v>4.6850699844479003E-2</v>
      </c>
      <c r="O129" s="2">
        <v>3.67418351477449E-2</v>
      </c>
      <c r="P129" s="2">
        <v>5.5793157076205198E-2</v>
      </c>
      <c r="Q129" s="2">
        <v>9.4673405909797795E-2</v>
      </c>
      <c r="R129" s="2">
        <v>3.9852255054432302E-2</v>
      </c>
      <c r="S129" s="2">
        <v>9.7200622083981299E-4</v>
      </c>
      <c r="T129" s="2">
        <v>7.7371695178849106E-2</v>
      </c>
      <c r="U129" s="2">
        <v>6.6290824261275194E-2</v>
      </c>
      <c r="V129" s="2">
        <v>0.10653188180404299</v>
      </c>
      <c r="W129" s="2">
        <v>3.0909797822706E-2</v>
      </c>
      <c r="X129" s="2">
        <v>1.10808709175738E-2</v>
      </c>
      <c r="Y129" s="2">
        <v>3.8880248833592502E-4</v>
      </c>
      <c r="Z129" s="2">
        <v>1.3608087091757301E-3</v>
      </c>
      <c r="AA129" s="2">
        <v>1.3219284603421399E-2</v>
      </c>
      <c r="AB129" s="2">
        <v>1.3608087091757301E-3</v>
      </c>
      <c r="AC129" s="19">
        <f t="shared" si="7"/>
        <v>0.10653188180404299</v>
      </c>
      <c r="AD129" s="20" t="str">
        <f t="shared" si="8"/>
        <v>t</v>
      </c>
      <c r="AE129" s="21" t="str">
        <f t="shared" si="13"/>
        <v>pnnerooit</v>
      </c>
      <c r="AF129" s="22" t="str">
        <f t="shared" si="9"/>
        <v/>
      </c>
      <c r="AG129" s="19" cm="1">
        <f t="array" ref="AG129">MAX(IF($C129:$AB129&lt;AC129,$C129:$AB129))</f>
        <v>0.102838258164852</v>
      </c>
      <c r="AH129" s="20" t="str">
        <f t="shared" si="10"/>
        <v>a</v>
      </c>
      <c r="AI129" s="21" t="str">
        <f t="shared" si="11"/>
        <v>uoeroeera</v>
      </c>
      <c r="AJ129" s="22" t="str">
        <f t="shared" si="12"/>
        <v/>
      </c>
    </row>
    <row r="130" spans="1:36" x14ac:dyDescent="0.25">
      <c r="A130" s="2">
        <v>16</v>
      </c>
      <c r="B130" s="2">
        <v>10</v>
      </c>
      <c r="C130" s="2">
        <v>9.1174183514774396E-2</v>
      </c>
      <c r="D130" s="2">
        <v>4.2185069984447897E-2</v>
      </c>
      <c r="E130" s="2">
        <v>4.5101088646967297E-2</v>
      </c>
      <c r="F130" s="2">
        <v>1.6135303265940901E-2</v>
      </c>
      <c r="G130" s="2">
        <v>6.5707620528771299E-2</v>
      </c>
      <c r="H130" s="2">
        <v>7.58164852255054E-3</v>
      </c>
      <c r="I130" s="2">
        <v>2.7799377916018601E-2</v>
      </c>
      <c r="J130" s="2">
        <v>2.9160186625194401E-2</v>
      </c>
      <c r="K130" s="2">
        <v>0.16310264385692</v>
      </c>
      <c r="L130" s="2">
        <v>3.8880248833592502E-4</v>
      </c>
      <c r="M130" s="2">
        <v>7.7760497667185005E-4</v>
      </c>
      <c r="N130" s="2">
        <v>3.9852255054432302E-2</v>
      </c>
      <c r="O130" s="2">
        <v>2.7021772939346801E-2</v>
      </c>
      <c r="P130" s="2">
        <v>5.52099533437014E-2</v>
      </c>
      <c r="Q130" s="2">
        <v>0.110031104199066</v>
      </c>
      <c r="R130" s="2">
        <v>2.62441679626749E-2</v>
      </c>
      <c r="S130" s="2">
        <v>9.7200622083981299E-4</v>
      </c>
      <c r="T130" s="2">
        <v>5.9681181959564497E-2</v>
      </c>
      <c r="U130" s="2">
        <v>3.6547433903576898E-2</v>
      </c>
      <c r="V130" s="2">
        <v>0.111197511664074</v>
      </c>
      <c r="W130" s="2">
        <v>2.8965785381026399E-2</v>
      </c>
      <c r="X130" s="2">
        <v>2.9160186625194402E-3</v>
      </c>
      <c r="Y130" s="2">
        <v>1.94401244167962E-4</v>
      </c>
      <c r="Z130" s="2">
        <v>1.1664074650077701E-3</v>
      </c>
      <c r="AA130" s="2">
        <v>6.60964230171073E-3</v>
      </c>
      <c r="AB130" s="2">
        <v>4.2768273716951698E-3</v>
      </c>
      <c r="AC130" s="19">
        <f t="shared" si="7"/>
        <v>0.16310264385692</v>
      </c>
      <c r="AD130" s="20" t="str">
        <f t="shared" si="8"/>
        <v>i</v>
      </c>
      <c r="AE130" s="21" t="str">
        <f t="shared" si="13"/>
        <v>pnnerooiti</v>
      </c>
      <c r="AF130" s="22" t="str">
        <f t="shared" si="9"/>
        <v/>
      </c>
      <c r="AG130" s="19" cm="1">
        <f t="array" ref="AG130">MAX(IF($C130:$AB130&lt;AC130,$C130:$AB130))</f>
        <v>0.111197511664074</v>
      </c>
      <c r="AH130" s="20" t="str">
        <f t="shared" si="10"/>
        <v>t</v>
      </c>
      <c r="AI130" s="21" t="str">
        <f t="shared" si="11"/>
        <v>uoeroeerat</v>
      </c>
      <c r="AJ130" s="22" t="str">
        <f t="shared" si="12"/>
        <v/>
      </c>
    </row>
    <row r="131" spans="1:36" x14ac:dyDescent="0.25">
      <c r="A131" s="2">
        <v>16</v>
      </c>
      <c r="B131" s="2">
        <v>11</v>
      </c>
      <c r="C131" s="2">
        <v>7.2511664074649998E-2</v>
      </c>
      <c r="D131" s="2">
        <v>3.4797822706065303E-2</v>
      </c>
      <c r="E131" s="2">
        <v>4.4323483670295399E-2</v>
      </c>
      <c r="F131" s="2">
        <v>1.3219284603421399E-2</v>
      </c>
      <c r="G131" s="2">
        <v>6.8234836702954896E-2</v>
      </c>
      <c r="H131" s="2">
        <v>4.6656298600311003E-3</v>
      </c>
      <c r="I131" s="2">
        <v>1.8079315707620499E-2</v>
      </c>
      <c r="J131" s="2">
        <v>2.4300155520995299E-2</v>
      </c>
      <c r="K131" s="2">
        <v>0.142496111975116</v>
      </c>
      <c r="L131" s="2">
        <v>0</v>
      </c>
      <c r="M131" s="2">
        <v>9.7200622083981299E-4</v>
      </c>
      <c r="N131" s="2">
        <v>8.5925349922239505E-2</v>
      </c>
      <c r="O131" s="2">
        <v>2.2356143079315698E-2</v>
      </c>
      <c r="P131" s="2">
        <v>7.2122861586314105E-2</v>
      </c>
      <c r="Q131" s="2">
        <v>6.5124416796267501E-2</v>
      </c>
      <c r="R131" s="2">
        <v>2.3328149300155501E-2</v>
      </c>
      <c r="S131" s="2">
        <v>3.8880248833592502E-4</v>
      </c>
      <c r="T131" s="2">
        <v>6.9984447900466498E-2</v>
      </c>
      <c r="U131" s="2">
        <v>3.7713841368584702E-2</v>
      </c>
      <c r="V131" s="2">
        <v>8.98133748055987E-2</v>
      </c>
      <c r="W131" s="2">
        <v>5.52099533437014E-2</v>
      </c>
      <c r="X131" s="2">
        <v>2.62441679626749E-2</v>
      </c>
      <c r="Y131" s="2">
        <v>1.94401244167962E-4</v>
      </c>
      <c r="Z131" s="2">
        <v>9.7200622083981299E-4</v>
      </c>
      <c r="AA131" s="2">
        <v>7.9704510108864705E-3</v>
      </c>
      <c r="AB131" s="2">
        <v>1.9051321928460301E-2</v>
      </c>
      <c r="AC131" s="19">
        <f t="shared" ref="AC131:AC194" si="14">MAX(C131:AB131)</f>
        <v>0.142496111975116</v>
      </c>
      <c r="AD131" s="20" t="str">
        <f t="shared" ref="AD131:AD194" si="15">INDEX($C$1:$AB$1,MATCH(AC131,$C131:$AB131,0))</f>
        <v>i</v>
      </c>
      <c r="AE131" s="21" t="str">
        <f t="shared" si="13"/>
        <v>pnnerooitii</v>
      </c>
      <c r="AF131" s="22" t="str">
        <f t="shared" ref="AF131:AF194" si="16">IF($A131&lt;&gt;$A132,AE131,"")</f>
        <v/>
      </c>
      <c r="AG131" s="19" cm="1">
        <f t="array" ref="AG131">MAX(IF($C131:$AB131&lt;AC131,$C131:$AB131))</f>
        <v>8.98133748055987E-2</v>
      </c>
      <c r="AH131" s="20" t="str">
        <f t="shared" ref="AH131:AH194" si="17">INDEX($C$1:$AB$1,MATCH(AG131,$C131:$AB131,0))</f>
        <v>t</v>
      </c>
      <c r="AI131" s="21" t="str">
        <f t="shared" ref="AI131:AI194" si="18">IF($A131&lt;&gt;$A130,AH131,AI130&amp;AH131)</f>
        <v>uoeroeeratt</v>
      </c>
      <c r="AJ131" s="22" t="str">
        <f t="shared" ref="AJ131:AJ194" si="19">IF($A131&lt;&gt;$A132,AI131,"")</f>
        <v/>
      </c>
    </row>
    <row r="132" spans="1:36" x14ac:dyDescent="0.25">
      <c r="A132" s="2">
        <v>16</v>
      </c>
      <c r="B132" s="2">
        <v>12</v>
      </c>
      <c r="C132" s="2">
        <v>0.15921461897356101</v>
      </c>
      <c r="D132" s="2">
        <v>4.2768273716951698E-3</v>
      </c>
      <c r="E132" s="2">
        <v>0.10128304821150801</v>
      </c>
      <c r="F132" s="2">
        <v>2.54665629860031E-2</v>
      </c>
      <c r="G132" s="2">
        <v>0.12188958009331199</v>
      </c>
      <c r="H132" s="2">
        <v>3.4992223950233198E-3</v>
      </c>
      <c r="I132" s="2">
        <v>2.6049766718506999E-2</v>
      </c>
      <c r="J132" s="2">
        <v>2.7216174183514699E-2</v>
      </c>
      <c r="K132" s="2">
        <v>0.140357698289269</v>
      </c>
      <c r="L132" s="2">
        <v>0</v>
      </c>
      <c r="M132" s="2">
        <v>7.7760497667185005E-4</v>
      </c>
      <c r="N132" s="2">
        <v>4.9183514774494501E-2</v>
      </c>
      <c r="O132" s="2">
        <v>1.9828926905132101E-2</v>
      </c>
      <c r="P132" s="2">
        <v>4.8600311041990599E-2</v>
      </c>
      <c r="Q132" s="2">
        <v>7.6399688958009304E-2</v>
      </c>
      <c r="R132" s="2">
        <v>1.9828926905132101E-2</v>
      </c>
      <c r="S132" s="2">
        <v>0</v>
      </c>
      <c r="T132" s="2">
        <v>4.17962674961119E-2</v>
      </c>
      <c r="U132" s="2">
        <v>5.09331259720062E-2</v>
      </c>
      <c r="V132" s="2">
        <v>5.9486780715396502E-2</v>
      </c>
      <c r="W132" s="2">
        <v>9.7200622083981301E-3</v>
      </c>
      <c r="X132" s="2">
        <v>9.7200622083981299E-4</v>
      </c>
      <c r="Y132" s="2">
        <v>5.8320373250388797E-4</v>
      </c>
      <c r="Z132" s="2">
        <v>1.94401244167962E-4</v>
      </c>
      <c r="AA132" s="2">
        <v>1.08864696734059E-2</v>
      </c>
      <c r="AB132" s="2">
        <v>1.5552099533437001E-3</v>
      </c>
      <c r="AC132" s="19">
        <f t="shared" si="14"/>
        <v>0.15921461897356101</v>
      </c>
      <c r="AD132" s="20" t="str">
        <f t="shared" si="15"/>
        <v>a</v>
      </c>
      <c r="AE132" s="21" t="str">
        <f t="shared" ref="AE132:AE195" si="20">IF(A132&lt;&gt;A131,AD132,AE131&amp;AD132)</f>
        <v>pnnerooitiia</v>
      </c>
      <c r="AF132" s="22" t="str">
        <f t="shared" si="16"/>
        <v/>
      </c>
      <c r="AG132" s="19" cm="1">
        <f t="array" ref="AG132">MAX(IF($C132:$AB132&lt;AC132,$C132:$AB132))</f>
        <v>0.140357698289269</v>
      </c>
      <c r="AH132" s="20" t="str">
        <f t="shared" si="17"/>
        <v>i</v>
      </c>
      <c r="AI132" s="21" t="str">
        <f t="shared" si="18"/>
        <v>uoeroeeratti</v>
      </c>
      <c r="AJ132" s="22" t="str">
        <f t="shared" si="19"/>
        <v/>
      </c>
    </row>
    <row r="133" spans="1:36" x14ac:dyDescent="0.25">
      <c r="A133" s="2">
        <v>16</v>
      </c>
      <c r="B133" s="2">
        <v>13</v>
      </c>
      <c r="C133" s="2">
        <v>0.14210730948677999</v>
      </c>
      <c r="D133" s="2">
        <v>1.7496111975116599E-3</v>
      </c>
      <c r="E133" s="2">
        <v>2.0412130637636E-2</v>
      </c>
      <c r="F133" s="2">
        <v>8.7480559875583192E-3</v>
      </c>
      <c r="G133" s="2">
        <v>4.8211508553654699E-2</v>
      </c>
      <c r="H133" s="2">
        <v>1.1664074650077701E-3</v>
      </c>
      <c r="I133" s="2">
        <v>1.34136858475894E-2</v>
      </c>
      <c r="J133" s="2">
        <v>1.5746500777604901E-2</v>
      </c>
      <c r="K133" s="2">
        <v>9.0396578538102595E-2</v>
      </c>
      <c r="L133" s="2">
        <v>0</v>
      </c>
      <c r="M133" s="2">
        <v>3.8880248833592502E-4</v>
      </c>
      <c r="N133" s="2">
        <v>8.6508553654743303E-2</v>
      </c>
      <c r="O133" s="2">
        <v>1.7301710730948602E-2</v>
      </c>
      <c r="P133" s="2">
        <v>0.19790046656298599</v>
      </c>
      <c r="Q133" s="2">
        <v>3.6353032659409E-2</v>
      </c>
      <c r="R133" s="2">
        <v>1.5746500777604901E-2</v>
      </c>
      <c r="S133" s="2">
        <v>0</v>
      </c>
      <c r="T133" s="2">
        <v>4.3351477449455597E-2</v>
      </c>
      <c r="U133" s="2">
        <v>4.0824261275272097E-2</v>
      </c>
      <c r="V133" s="2">
        <v>0.148133748055987</v>
      </c>
      <c r="W133" s="2">
        <v>3.2465007776049701E-2</v>
      </c>
      <c r="X133" s="2">
        <v>1.96345256609642E-2</v>
      </c>
      <c r="Y133" s="2">
        <v>5.8320373250388797E-4</v>
      </c>
      <c r="Z133" s="2">
        <v>1.1664074650077701E-3</v>
      </c>
      <c r="AA133" s="2">
        <v>6.60964230171073E-3</v>
      </c>
      <c r="AB133" s="2">
        <v>1.10808709175738E-2</v>
      </c>
      <c r="AC133" s="19">
        <f t="shared" si="14"/>
        <v>0.19790046656298599</v>
      </c>
      <c r="AD133" s="20" t="str">
        <f t="shared" si="15"/>
        <v>n</v>
      </c>
      <c r="AE133" s="21" t="str">
        <f t="shared" si="20"/>
        <v>pnnerooitiian</v>
      </c>
      <c r="AF133" s="22" t="str">
        <f t="shared" si="16"/>
        <v/>
      </c>
      <c r="AG133" s="19" cm="1">
        <f t="array" ref="AG133">MAX(IF($C133:$AB133&lt;AC133,$C133:$AB133))</f>
        <v>0.148133748055987</v>
      </c>
      <c r="AH133" s="20" t="str">
        <f t="shared" si="17"/>
        <v>t</v>
      </c>
      <c r="AI133" s="21" t="str">
        <f t="shared" si="18"/>
        <v>uoeroeerattit</v>
      </c>
      <c r="AJ133" s="22" t="str">
        <f t="shared" si="19"/>
        <v/>
      </c>
    </row>
    <row r="134" spans="1:36" x14ac:dyDescent="0.25">
      <c r="A134" s="2">
        <v>16</v>
      </c>
      <c r="B134" s="2">
        <v>14</v>
      </c>
      <c r="C134" s="2">
        <v>3.7713841368584702E-2</v>
      </c>
      <c r="D134" s="2">
        <v>1.96345256609642E-2</v>
      </c>
      <c r="E134" s="2">
        <v>3.42146189735614E-2</v>
      </c>
      <c r="F134" s="2">
        <v>7.1928460342146096E-3</v>
      </c>
      <c r="G134" s="2">
        <v>0.19770606531881799</v>
      </c>
      <c r="H134" s="2">
        <v>7.7760497667185005E-4</v>
      </c>
      <c r="I134" s="2">
        <v>1.12752721617418E-2</v>
      </c>
      <c r="J134" s="2">
        <v>1.78849144634525E-2</v>
      </c>
      <c r="K134" s="2">
        <v>0.27838258164852198</v>
      </c>
      <c r="L134" s="2">
        <v>0</v>
      </c>
      <c r="M134" s="2">
        <v>0</v>
      </c>
      <c r="N134" s="2">
        <v>0.102449455676516</v>
      </c>
      <c r="O134" s="2">
        <v>4.0824261275272103E-3</v>
      </c>
      <c r="P134" s="2">
        <v>2.9548989113530301E-2</v>
      </c>
      <c r="Q134" s="2">
        <v>8.1065318818040397E-2</v>
      </c>
      <c r="R134" s="2">
        <v>1.14696734059097E-2</v>
      </c>
      <c r="S134" s="2">
        <v>3.8880248833592502E-4</v>
      </c>
      <c r="T134" s="2">
        <v>2.1967340590979701E-2</v>
      </c>
      <c r="U134" s="2">
        <v>5.9097978227060602E-2</v>
      </c>
      <c r="V134" s="2">
        <v>7.01788491446345E-2</v>
      </c>
      <c r="W134" s="2">
        <v>2.5272161741835102E-3</v>
      </c>
      <c r="X134" s="2">
        <v>3.8880248833592502E-4</v>
      </c>
      <c r="Y134" s="2">
        <v>0</v>
      </c>
      <c r="Z134" s="2">
        <v>1.5552099533437001E-3</v>
      </c>
      <c r="AA134" s="2">
        <v>2.3328149300155501E-3</v>
      </c>
      <c r="AB134" s="2">
        <v>8.1648522550544292E-3</v>
      </c>
      <c r="AC134" s="19">
        <f t="shared" si="14"/>
        <v>0.27838258164852198</v>
      </c>
      <c r="AD134" s="20" t="str">
        <f t="shared" si="15"/>
        <v>i</v>
      </c>
      <c r="AE134" s="21" t="str">
        <f t="shared" si="20"/>
        <v>pnnerooitiiani</v>
      </c>
      <c r="AF134" s="22" t="str">
        <f t="shared" si="16"/>
        <v/>
      </c>
      <c r="AG134" s="19" cm="1">
        <f t="array" ref="AG134">MAX(IF($C134:$AB134&lt;AC134,$C134:$AB134))</f>
        <v>0.19770606531881799</v>
      </c>
      <c r="AH134" s="20" t="str">
        <f t="shared" si="17"/>
        <v>e</v>
      </c>
      <c r="AI134" s="21" t="str">
        <f t="shared" si="18"/>
        <v>uoeroeerattite</v>
      </c>
      <c r="AJ134" s="22" t="str">
        <f t="shared" si="19"/>
        <v/>
      </c>
    </row>
    <row r="135" spans="1:36" x14ac:dyDescent="0.25">
      <c r="A135" s="2">
        <v>16</v>
      </c>
      <c r="B135" s="2">
        <v>15</v>
      </c>
      <c r="C135" s="2">
        <v>9.0785381026438502E-2</v>
      </c>
      <c r="D135" s="2">
        <v>1.94401244167962E-4</v>
      </c>
      <c r="E135" s="2">
        <v>1.12752721617418E-2</v>
      </c>
      <c r="F135" s="2">
        <v>3.4992223950233198E-3</v>
      </c>
      <c r="G135" s="2">
        <v>6.8040435458786894E-2</v>
      </c>
      <c r="H135" s="2">
        <v>0</v>
      </c>
      <c r="I135" s="2">
        <v>8.9424572317262797E-3</v>
      </c>
      <c r="J135" s="2">
        <v>1.0108864696734001E-2</v>
      </c>
      <c r="K135" s="2">
        <v>0.104587869362363</v>
      </c>
      <c r="L135" s="2">
        <v>0</v>
      </c>
      <c r="M135" s="2">
        <v>9.7200622083981299E-4</v>
      </c>
      <c r="N135" s="2">
        <v>0.16640746500777601</v>
      </c>
      <c r="O135" s="2">
        <v>1.18584758942457E-2</v>
      </c>
      <c r="P135" s="2">
        <v>7.9704510108864701E-2</v>
      </c>
      <c r="Q135" s="2">
        <v>8.3981337480559803E-2</v>
      </c>
      <c r="R135" s="2">
        <v>1.08864696734059E-2</v>
      </c>
      <c r="S135" s="2">
        <v>0</v>
      </c>
      <c r="T135" s="2">
        <v>1.8662519440124401E-2</v>
      </c>
      <c r="U135" s="2">
        <v>0.196150855365474</v>
      </c>
      <c r="V135" s="2">
        <v>7.3094867807153893E-2</v>
      </c>
      <c r="W135" s="2">
        <v>4.0046656298600297E-2</v>
      </c>
      <c r="X135" s="2">
        <v>1.5163297045101E-2</v>
      </c>
      <c r="Y135" s="2">
        <v>0</v>
      </c>
      <c r="Z135" s="2">
        <v>1.94401244167962E-4</v>
      </c>
      <c r="AA135" s="2">
        <v>0</v>
      </c>
      <c r="AB135" s="2">
        <v>5.4432348367029499E-3</v>
      </c>
      <c r="AC135" s="19">
        <f t="shared" si="14"/>
        <v>0.196150855365474</v>
      </c>
      <c r="AD135" s="20" t="str">
        <f t="shared" si="15"/>
        <v>s</v>
      </c>
      <c r="AE135" s="21" t="str">
        <f t="shared" si="20"/>
        <v>pnnerooitiianis</v>
      </c>
      <c r="AF135" s="22" t="str">
        <f t="shared" si="16"/>
        <v/>
      </c>
      <c r="AG135" s="19" cm="1">
        <f t="array" ref="AG135">MAX(IF($C135:$AB135&lt;AC135,$C135:$AB135))</f>
        <v>0.16640746500777601</v>
      </c>
      <c r="AH135" s="20" t="str">
        <f t="shared" si="17"/>
        <v>l</v>
      </c>
      <c r="AI135" s="21" t="str">
        <f t="shared" si="18"/>
        <v>uoeroeerattitel</v>
      </c>
      <c r="AJ135" s="22" t="str">
        <f t="shared" si="19"/>
        <v/>
      </c>
    </row>
    <row r="136" spans="1:36" x14ac:dyDescent="0.25">
      <c r="A136" s="2">
        <v>16</v>
      </c>
      <c r="B136" s="2">
        <v>16</v>
      </c>
      <c r="C136" s="2">
        <v>1.8468118195956399E-2</v>
      </c>
      <c r="D136" s="2">
        <v>0</v>
      </c>
      <c r="E136" s="2">
        <v>5.30715396578538E-2</v>
      </c>
      <c r="F136" s="2">
        <v>2.4300155520995299E-2</v>
      </c>
      <c r="G136" s="2">
        <v>9.5256609642301704E-2</v>
      </c>
      <c r="H136" s="2">
        <v>1.94401244167962E-4</v>
      </c>
      <c r="I136" s="2">
        <v>3.38258164852255E-2</v>
      </c>
      <c r="J136" s="2">
        <v>6.8040435458786904E-3</v>
      </c>
      <c r="K136" s="2">
        <v>3.8880248833592502E-4</v>
      </c>
      <c r="L136" s="2">
        <v>0</v>
      </c>
      <c r="M136" s="2">
        <v>1.94401244167962E-4</v>
      </c>
      <c r="N136" s="2">
        <v>7.3289269051321895E-2</v>
      </c>
      <c r="O136" s="2">
        <v>2.3911353032659399E-2</v>
      </c>
      <c r="P136" s="2">
        <v>9.0979782270606505E-2</v>
      </c>
      <c r="Q136" s="2">
        <v>3.8880248833592502E-4</v>
      </c>
      <c r="R136" s="2">
        <v>5.2488335925349903E-3</v>
      </c>
      <c r="S136" s="2">
        <v>0</v>
      </c>
      <c r="T136" s="2">
        <v>1.9828926905132101E-2</v>
      </c>
      <c r="U136" s="2">
        <v>0.27916018662519398</v>
      </c>
      <c r="V136" s="2">
        <v>3.84914463452566E-2</v>
      </c>
      <c r="W136" s="2">
        <v>0</v>
      </c>
      <c r="X136" s="2">
        <v>0</v>
      </c>
      <c r="Y136" s="2">
        <v>0</v>
      </c>
      <c r="Z136" s="2">
        <v>1.1664074650077701E-3</v>
      </c>
      <c r="AA136" s="2">
        <v>0.235031104199066</v>
      </c>
      <c r="AB136" s="2">
        <v>0</v>
      </c>
      <c r="AC136" s="19">
        <f t="shared" si="14"/>
        <v>0.27916018662519398</v>
      </c>
      <c r="AD136" s="20" t="str">
        <f t="shared" si="15"/>
        <v>s</v>
      </c>
      <c r="AE136" s="21" t="str">
        <f t="shared" si="20"/>
        <v>pnnerooitiianiss</v>
      </c>
      <c r="AF136" s="22" t="str">
        <f t="shared" si="16"/>
        <v>pnnerooitiianiss</v>
      </c>
      <c r="AG136" s="19" cm="1">
        <f t="array" ref="AG136">MAX(IF($C136:$AB136&lt;AC136,$C136:$AB136))</f>
        <v>0.235031104199066</v>
      </c>
      <c r="AH136" s="20" t="str">
        <f t="shared" si="17"/>
        <v>y</v>
      </c>
      <c r="AI136" s="21" t="str">
        <f t="shared" si="18"/>
        <v>uoeroeerattitely</v>
      </c>
      <c r="AJ136" s="22" t="str">
        <f t="shared" si="19"/>
        <v>uoeroeerattitely</v>
      </c>
    </row>
    <row r="137" spans="1:36" x14ac:dyDescent="0.25">
      <c r="A137" s="2">
        <v>17</v>
      </c>
      <c r="B137" s="2">
        <v>1</v>
      </c>
      <c r="C137" s="2">
        <v>6.0831361946603497E-2</v>
      </c>
      <c r="D137" s="2">
        <v>1.5545792497465301E-2</v>
      </c>
      <c r="E137" s="2">
        <v>7.7728962487326803E-2</v>
      </c>
      <c r="F137" s="2">
        <v>3.8188577222034399E-2</v>
      </c>
      <c r="G137" s="2">
        <v>3.41331530922609E-2</v>
      </c>
      <c r="H137" s="2">
        <v>4.7313281514024998E-3</v>
      </c>
      <c r="I137" s="2">
        <v>6.7590402162892799E-3</v>
      </c>
      <c r="J137" s="2">
        <v>5.0354849611355099E-2</v>
      </c>
      <c r="K137" s="2">
        <v>6.15072659682325E-2</v>
      </c>
      <c r="L137" s="2">
        <v>1.01385603244339E-3</v>
      </c>
      <c r="M137" s="2">
        <v>2.0277120648867801E-3</v>
      </c>
      <c r="N137" s="2">
        <v>1.45319364650219E-2</v>
      </c>
      <c r="O137" s="2">
        <v>4.3257857384251398E-2</v>
      </c>
      <c r="P137" s="2">
        <v>0.124366339979722</v>
      </c>
      <c r="Q137" s="2">
        <v>5.1706657654612999E-2</v>
      </c>
      <c r="R137" s="2">
        <v>0.135180804325785</v>
      </c>
      <c r="S137" s="2">
        <v>4.7313281514024998E-3</v>
      </c>
      <c r="T137" s="2">
        <v>2.0277120648867799E-2</v>
      </c>
      <c r="U137" s="2">
        <v>0.105778979384927</v>
      </c>
      <c r="V137" s="2">
        <v>3.8188577222034399E-2</v>
      </c>
      <c r="W137" s="2">
        <v>0.102399459276782</v>
      </c>
      <c r="X137" s="2">
        <v>5.0692801622169601E-3</v>
      </c>
      <c r="Y137" s="2">
        <v>3.37952010814464E-4</v>
      </c>
      <c r="Z137" s="2">
        <v>0</v>
      </c>
      <c r="AA137" s="2">
        <v>0</v>
      </c>
      <c r="AB137" s="2">
        <v>1.3518080432578499E-3</v>
      </c>
      <c r="AC137" s="19">
        <f t="shared" si="14"/>
        <v>0.135180804325785</v>
      </c>
      <c r="AD137" s="20" t="str">
        <f t="shared" si="15"/>
        <v>p</v>
      </c>
      <c r="AE137" s="21" t="str">
        <f t="shared" si="20"/>
        <v>p</v>
      </c>
      <c r="AF137" s="22" t="str">
        <f t="shared" si="16"/>
        <v/>
      </c>
      <c r="AG137" s="19" cm="1">
        <f t="array" ref="AG137">MAX(IF($C137:$AB137&lt;AC137,$C137:$AB137))</f>
        <v>0.124366339979722</v>
      </c>
      <c r="AH137" s="20" t="str">
        <f t="shared" si="17"/>
        <v>n</v>
      </c>
      <c r="AI137" s="21" t="str">
        <f t="shared" si="18"/>
        <v>n</v>
      </c>
      <c r="AJ137" s="22" t="str">
        <f t="shared" si="19"/>
        <v/>
      </c>
    </row>
    <row r="138" spans="1:36" x14ac:dyDescent="0.25">
      <c r="A138" s="2">
        <v>17</v>
      </c>
      <c r="B138" s="2">
        <v>2</v>
      </c>
      <c r="C138" s="2">
        <v>6.1169313957418002E-2</v>
      </c>
      <c r="D138" s="2">
        <v>6.7590402162892799E-4</v>
      </c>
      <c r="E138" s="2">
        <v>1.11524163568773E-2</v>
      </c>
      <c r="F138" s="2">
        <v>3.0415680973301701E-3</v>
      </c>
      <c r="G138" s="2">
        <v>0.110848259547144</v>
      </c>
      <c r="H138" s="2">
        <v>3.37952010814464E-4</v>
      </c>
      <c r="I138" s="2">
        <v>3.37952010814464E-4</v>
      </c>
      <c r="J138" s="2">
        <v>5.4410273741128702E-2</v>
      </c>
      <c r="K138" s="2">
        <v>6.0493409935789097E-2</v>
      </c>
      <c r="L138" s="2">
        <v>0</v>
      </c>
      <c r="M138" s="2">
        <v>0</v>
      </c>
      <c r="N138" s="2">
        <v>3.3119297059817497E-2</v>
      </c>
      <c r="O138" s="2">
        <v>9.4626563028049997E-3</v>
      </c>
      <c r="P138" s="2">
        <v>0.18891517404528499</v>
      </c>
      <c r="Q138" s="2">
        <v>0.17201757350456201</v>
      </c>
      <c r="R138" s="2">
        <v>1.5883744508279798E-2</v>
      </c>
      <c r="S138" s="2">
        <v>1.68976005407232E-3</v>
      </c>
      <c r="T138" s="2">
        <v>7.7391010476512298E-2</v>
      </c>
      <c r="U138" s="2">
        <v>2.6698208854342601E-2</v>
      </c>
      <c r="V138" s="2">
        <v>1.25042244001351E-2</v>
      </c>
      <c r="W138" s="2">
        <v>7.2321730314295299E-2</v>
      </c>
      <c r="X138" s="2">
        <v>3.7512673200405501E-2</v>
      </c>
      <c r="Y138" s="2">
        <v>0</v>
      </c>
      <c r="Z138" s="2">
        <v>4.39337614058803E-3</v>
      </c>
      <c r="AA138" s="2">
        <v>4.5623521459952597E-2</v>
      </c>
      <c r="AB138" s="2">
        <v>0</v>
      </c>
      <c r="AC138" s="19">
        <f t="shared" si="14"/>
        <v>0.18891517404528499</v>
      </c>
      <c r="AD138" s="20" t="str">
        <f t="shared" si="15"/>
        <v>n</v>
      </c>
      <c r="AE138" s="21" t="str">
        <f t="shared" si="20"/>
        <v>pn</v>
      </c>
      <c r="AF138" s="22" t="str">
        <f t="shared" si="16"/>
        <v/>
      </c>
      <c r="AG138" s="19" cm="1">
        <f t="array" ref="AG138">MAX(IF($C138:$AB138&lt;AC138,$C138:$AB138))</f>
        <v>0.17201757350456201</v>
      </c>
      <c r="AH138" s="20" t="str">
        <f t="shared" si="17"/>
        <v>o</v>
      </c>
      <c r="AI138" s="21" t="str">
        <f t="shared" si="18"/>
        <v>no</v>
      </c>
      <c r="AJ138" s="22" t="str">
        <f t="shared" si="19"/>
        <v/>
      </c>
    </row>
    <row r="139" spans="1:36" x14ac:dyDescent="0.25">
      <c r="A139" s="2">
        <v>17</v>
      </c>
      <c r="B139" s="2">
        <v>3</v>
      </c>
      <c r="C139" s="2">
        <v>4.6975329503210497E-2</v>
      </c>
      <c r="D139" s="2">
        <v>1.8249408583981001E-2</v>
      </c>
      <c r="E139" s="2">
        <v>6.7252450152078397E-2</v>
      </c>
      <c r="F139" s="2">
        <v>3.44711051030753E-2</v>
      </c>
      <c r="G139" s="2">
        <v>0.13382899628252701</v>
      </c>
      <c r="H139" s="2">
        <v>4.0554241297735697E-3</v>
      </c>
      <c r="I139" s="2">
        <v>9.4626563028049997E-3</v>
      </c>
      <c r="J139" s="2">
        <v>1.11524163568773E-2</v>
      </c>
      <c r="K139" s="2">
        <v>3.1429537005745099E-2</v>
      </c>
      <c r="L139" s="2">
        <v>1.01385603244339E-3</v>
      </c>
      <c r="M139" s="2">
        <v>3.37952010814464E-4</v>
      </c>
      <c r="N139" s="2">
        <v>4.12301453193646E-2</v>
      </c>
      <c r="O139" s="2">
        <v>4.6975329503210497E-2</v>
      </c>
      <c r="P139" s="2">
        <v>0.14971274079080699</v>
      </c>
      <c r="Q139" s="2">
        <v>5.0692801622169603E-2</v>
      </c>
      <c r="R139" s="2">
        <v>0.101385603244339</v>
      </c>
      <c r="S139" s="2">
        <v>1.68976005407232E-3</v>
      </c>
      <c r="T139" s="2">
        <v>4.9678945589726201E-2</v>
      </c>
      <c r="U139" s="2">
        <v>5.33964177086853E-2</v>
      </c>
      <c r="V139" s="2">
        <v>0.10104765123352399</v>
      </c>
      <c r="W139" s="2">
        <v>2.3318688746198E-2</v>
      </c>
      <c r="X139" s="2">
        <v>1.68976005407232E-3</v>
      </c>
      <c r="Y139" s="2">
        <v>3.37952010814464E-4</v>
      </c>
      <c r="Z139" s="2">
        <v>3.37952010814464E-3</v>
      </c>
      <c r="AA139" s="2">
        <v>1.7235552551537602E-2</v>
      </c>
      <c r="AB139" s="2">
        <v>0</v>
      </c>
      <c r="AC139" s="19">
        <f t="shared" si="14"/>
        <v>0.14971274079080699</v>
      </c>
      <c r="AD139" s="20" t="str">
        <f t="shared" si="15"/>
        <v>n</v>
      </c>
      <c r="AE139" s="21" t="str">
        <f t="shared" si="20"/>
        <v>pnn</v>
      </c>
      <c r="AF139" s="22" t="str">
        <f t="shared" si="16"/>
        <v/>
      </c>
      <c r="AG139" s="19" cm="1">
        <f t="array" ref="AG139">MAX(IF($C139:$AB139&lt;AC139,$C139:$AB139))</f>
        <v>0.13382899628252701</v>
      </c>
      <c r="AH139" s="20" t="str">
        <f t="shared" si="17"/>
        <v>e</v>
      </c>
      <c r="AI139" s="21" t="str">
        <f t="shared" si="18"/>
        <v>noe</v>
      </c>
      <c r="AJ139" s="22" t="str">
        <f t="shared" si="19"/>
        <v/>
      </c>
    </row>
    <row r="140" spans="1:36" x14ac:dyDescent="0.25">
      <c r="A140" s="2">
        <v>17</v>
      </c>
      <c r="B140" s="2">
        <v>4</v>
      </c>
      <c r="C140" s="2">
        <v>5.8127745860087801E-2</v>
      </c>
      <c r="D140" s="2">
        <v>5.7451841838458903E-3</v>
      </c>
      <c r="E140" s="2">
        <v>7.7391010476512298E-2</v>
      </c>
      <c r="F140" s="2">
        <v>2.7036160865157099E-2</v>
      </c>
      <c r="G140" s="2">
        <v>0.152078404866508</v>
      </c>
      <c r="H140" s="2">
        <v>8.4488002703616092E-3</v>
      </c>
      <c r="I140" s="2">
        <v>8.7867522811760704E-3</v>
      </c>
      <c r="J140" s="2">
        <v>3.04156809733017E-2</v>
      </c>
      <c r="K140" s="2">
        <v>0.103413315309226</v>
      </c>
      <c r="L140" s="2">
        <v>3.37952010814464E-4</v>
      </c>
      <c r="M140" s="2">
        <v>1.01385603244339E-3</v>
      </c>
      <c r="N140" s="2">
        <v>1.9939168638053301E-2</v>
      </c>
      <c r="O140" s="2">
        <v>2.1290976681311202E-2</v>
      </c>
      <c r="P140" s="2">
        <v>5.3734369719499797E-2</v>
      </c>
      <c r="Q140" s="2">
        <v>6.6914498141263906E-2</v>
      </c>
      <c r="R140" s="2">
        <v>4.1906049340993498E-2</v>
      </c>
      <c r="S140" s="2">
        <v>1.3518080432578499E-3</v>
      </c>
      <c r="T140" s="2">
        <v>0.134166948293342</v>
      </c>
      <c r="U140" s="2">
        <v>3.8188577222034399E-2</v>
      </c>
      <c r="V140" s="2">
        <v>8.2122338627914807E-2</v>
      </c>
      <c r="W140" s="2">
        <v>4.3257857384251398E-2</v>
      </c>
      <c r="X140" s="2">
        <v>6.4210882054748196E-3</v>
      </c>
      <c r="Y140" s="2">
        <v>6.7590402162892799E-4</v>
      </c>
      <c r="Z140" s="2">
        <v>4.0554241297735697E-3</v>
      </c>
      <c r="AA140" s="2">
        <v>1.2166272389320699E-2</v>
      </c>
      <c r="AB140" s="2">
        <v>1.01385603244339E-3</v>
      </c>
      <c r="AC140" s="19">
        <f t="shared" si="14"/>
        <v>0.152078404866508</v>
      </c>
      <c r="AD140" s="20" t="str">
        <f t="shared" si="15"/>
        <v>e</v>
      </c>
      <c r="AE140" s="21" t="str">
        <f t="shared" si="20"/>
        <v>pnne</v>
      </c>
      <c r="AF140" s="22" t="str">
        <f t="shared" si="16"/>
        <v/>
      </c>
      <c r="AG140" s="19" cm="1">
        <f t="array" ref="AG140">MAX(IF($C140:$AB140&lt;AC140,$C140:$AB140))</f>
        <v>0.134166948293342</v>
      </c>
      <c r="AH140" s="20" t="str">
        <f t="shared" si="17"/>
        <v>r</v>
      </c>
      <c r="AI140" s="21" t="str">
        <f t="shared" si="18"/>
        <v>noer</v>
      </c>
      <c r="AJ140" s="22" t="str">
        <f t="shared" si="19"/>
        <v/>
      </c>
    </row>
    <row r="141" spans="1:36" x14ac:dyDescent="0.25">
      <c r="A141" s="2">
        <v>17</v>
      </c>
      <c r="B141" s="2">
        <v>5</v>
      </c>
      <c r="C141" s="2">
        <v>5.7789793849273401E-2</v>
      </c>
      <c r="D141" s="2">
        <v>9.1247042919905298E-3</v>
      </c>
      <c r="E141" s="2">
        <v>3.98783372761067E-2</v>
      </c>
      <c r="F141" s="2">
        <v>4.3257857384251398E-2</v>
      </c>
      <c r="G141" s="2">
        <v>9.3612706995606601E-2</v>
      </c>
      <c r="H141" s="2">
        <v>6.7590402162892799E-3</v>
      </c>
      <c r="I141" s="2">
        <v>8.7867522811760704E-3</v>
      </c>
      <c r="J141" s="2">
        <v>3.3795201081446402E-2</v>
      </c>
      <c r="K141" s="2">
        <v>6.0493409935789097E-2</v>
      </c>
      <c r="L141" s="2">
        <v>6.7590402162892799E-4</v>
      </c>
      <c r="M141" s="2">
        <v>3.0415680973301701E-3</v>
      </c>
      <c r="N141" s="2">
        <v>2.2642784724569098E-2</v>
      </c>
      <c r="O141" s="2">
        <v>4.3257857384251398E-2</v>
      </c>
      <c r="P141" s="2">
        <v>5.7789793849273401E-2</v>
      </c>
      <c r="Q141" s="2">
        <v>0.13788442041230101</v>
      </c>
      <c r="R141" s="2">
        <v>4.2919905373436901E-2</v>
      </c>
      <c r="S141" s="2">
        <v>2.0277120648867801E-3</v>
      </c>
      <c r="T141" s="2">
        <v>0.16458262926664399</v>
      </c>
      <c r="U141" s="2">
        <v>4.0892193308550102E-2</v>
      </c>
      <c r="V141" s="2">
        <v>8.0432578573842506E-2</v>
      </c>
      <c r="W141" s="2">
        <v>2.6698208854342601E-2</v>
      </c>
      <c r="X141" s="2">
        <v>3.0415680973301701E-3</v>
      </c>
      <c r="Y141" s="2">
        <v>0</v>
      </c>
      <c r="Z141" s="2">
        <v>5.0692801622169601E-3</v>
      </c>
      <c r="AA141" s="2">
        <v>1.3856032443393E-2</v>
      </c>
      <c r="AB141" s="2">
        <v>1.68976005407232E-3</v>
      </c>
      <c r="AC141" s="19">
        <f t="shared" si="14"/>
        <v>0.16458262926664399</v>
      </c>
      <c r="AD141" s="20" t="str">
        <f t="shared" si="15"/>
        <v>r</v>
      </c>
      <c r="AE141" s="21" t="str">
        <f t="shared" si="20"/>
        <v>pnner</v>
      </c>
      <c r="AF141" s="22" t="str">
        <f t="shared" si="16"/>
        <v/>
      </c>
      <c r="AG141" s="19" cm="1">
        <f t="array" ref="AG141">MAX(IF($C141:$AB141&lt;AC141,$C141:$AB141))</f>
        <v>0.13788442041230101</v>
      </c>
      <c r="AH141" s="20" t="str">
        <f t="shared" si="17"/>
        <v>o</v>
      </c>
      <c r="AI141" s="21" t="str">
        <f t="shared" si="18"/>
        <v>noero</v>
      </c>
      <c r="AJ141" s="22" t="str">
        <f t="shared" si="19"/>
        <v/>
      </c>
    </row>
    <row r="142" spans="1:36" x14ac:dyDescent="0.25">
      <c r="A142" s="2">
        <v>17</v>
      </c>
      <c r="B142" s="2">
        <v>6</v>
      </c>
      <c r="C142" s="2">
        <v>6.8266306184521799E-2</v>
      </c>
      <c r="D142" s="2">
        <v>1.52078404866508E-2</v>
      </c>
      <c r="E142" s="2">
        <v>6.8266306184521799E-2</v>
      </c>
      <c r="F142" s="2">
        <v>2.06150726596823E-2</v>
      </c>
      <c r="G142" s="2">
        <v>8.5501858736059394E-2</v>
      </c>
      <c r="H142" s="2">
        <v>1.5545792497465301E-2</v>
      </c>
      <c r="I142" s="2">
        <v>2.5346400811084802E-2</v>
      </c>
      <c r="J142" s="2">
        <v>3.0753632984116201E-2</v>
      </c>
      <c r="K142" s="2">
        <v>4.9340993578911703E-2</v>
      </c>
      <c r="L142" s="2">
        <v>2.0277120648867801E-3</v>
      </c>
      <c r="M142" s="2">
        <v>1.01385603244339E-3</v>
      </c>
      <c r="N142" s="2">
        <v>4.2244001351808003E-2</v>
      </c>
      <c r="O142" s="2">
        <v>4.4947617438323699E-2</v>
      </c>
      <c r="P142" s="2">
        <v>5.47482257519432E-2</v>
      </c>
      <c r="Q142" s="2">
        <v>0.14058803649881699</v>
      </c>
      <c r="R142" s="2">
        <v>5.8465697870902299E-2</v>
      </c>
      <c r="S142" s="2">
        <v>2.0277120648867801E-3</v>
      </c>
      <c r="T142" s="2">
        <v>9.4288611017235499E-2</v>
      </c>
      <c r="U142" s="2">
        <v>6.5562690098005999E-2</v>
      </c>
      <c r="V142" s="2">
        <v>6.9618114227779596E-2</v>
      </c>
      <c r="W142" s="2">
        <v>1.5545792497465301E-2</v>
      </c>
      <c r="X142" s="2">
        <v>1.11524163568773E-2</v>
      </c>
      <c r="Y142" s="2">
        <v>1.68976005407232E-3</v>
      </c>
      <c r="Z142" s="2">
        <v>4.7313281514024998E-3</v>
      </c>
      <c r="AA142" s="2">
        <v>1.18283203785062E-2</v>
      </c>
      <c r="AB142" s="2">
        <v>6.7590402162892799E-4</v>
      </c>
      <c r="AC142" s="19">
        <f t="shared" si="14"/>
        <v>0.14058803649881699</v>
      </c>
      <c r="AD142" s="20" t="str">
        <f t="shared" si="15"/>
        <v>o</v>
      </c>
      <c r="AE142" s="21" t="str">
        <f t="shared" si="20"/>
        <v>pnnero</v>
      </c>
      <c r="AF142" s="22" t="str">
        <f t="shared" si="16"/>
        <v/>
      </c>
      <c r="AG142" s="19" cm="1">
        <f t="array" ref="AG142">MAX(IF($C142:$AB142&lt;AC142,$C142:$AB142))</f>
        <v>9.4288611017235499E-2</v>
      </c>
      <c r="AH142" s="20" t="str">
        <f t="shared" si="17"/>
        <v>r</v>
      </c>
      <c r="AI142" s="21" t="str">
        <f t="shared" si="18"/>
        <v>noeror</v>
      </c>
      <c r="AJ142" s="22" t="str">
        <f t="shared" si="19"/>
        <v/>
      </c>
    </row>
    <row r="143" spans="1:36" x14ac:dyDescent="0.25">
      <c r="A143" s="2">
        <v>17</v>
      </c>
      <c r="B143" s="2">
        <v>7</v>
      </c>
      <c r="C143" s="2">
        <v>6.0493409935789097E-2</v>
      </c>
      <c r="D143" s="2">
        <v>6.7590402162892799E-3</v>
      </c>
      <c r="E143" s="2">
        <v>4.7651233524839402E-2</v>
      </c>
      <c r="F143" s="2">
        <v>2.06150726596823E-2</v>
      </c>
      <c r="G143" s="2">
        <v>0.107468739438999</v>
      </c>
      <c r="H143" s="2">
        <v>1.1490368367691701E-2</v>
      </c>
      <c r="I143" s="2">
        <v>3.2781345049003E-2</v>
      </c>
      <c r="J143" s="2">
        <v>4.6299425481581599E-2</v>
      </c>
      <c r="K143" s="2">
        <v>7.9080770530584599E-2</v>
      </c>
      <c r="L143" s="2">
        <v>1.3518080432578499E-3</v>
      </c>
      <c r="M143" s="2">
        <v>1.01385603244339E-3</v>
      </c>
      <c r="N143" s="2">
        <v>4.6975329503210497E-2</v>
      </c>
      <c r="O143" s="2">
        <v>2.6360256843528201E-2</v>
      </c>
      <c r="P143" s="2">
        <v>4.8327137546468397E-2</v>
      </c>
      <c r="Q143" s="2">
        <v>0.13687056437985801</v>
      </c>
      <c r="R143" s="2">
        <v>5.0354849611355099E-2</v>
      </c>
      <c r="S143" s="2">
        <v>6.7590402162892799E-4</v>
      </c>
      <c r="T143" s="2">
        <v>8.6177762757688403E-2</v>
      </c>
      <c r="U143" s="2">
        <v>5.1706657654612999E-2</v>
      </c>
      <c r="V143" s="2">
        <v>6.8266306184521799E-2</v>
      </c>
      <c r="W143" s="2">
        <v>4.12301453193646E-2</v>
      </c>
      <c r="X143" s="2">
        <v>1.04765123352483E-2</v>
      </c>
      <c r="Y143" s="2">
        <v>6.7590402162892799E-4</v>
      </c>
      <c r="Z143" s="2">
        <v>3.37952010814464E-3</v>
      </c>
      <c r="AA143" s="2">
        <v>1.3518080432578501E-2</v>
      </c>
      <c r="AB143" s="2">
        <v>0</v>
      </c>
      <c r="AC143" s="19">
        <f t="shared" si="14"/>
        <v>0.13687056437985801</v>
      </c>
      <c r="AD143" s="20" t="str">
        <f t="shared" si="15"/>
        <v>o</v>
      </c>
      <c r="AE143" s="21" t="str">
        <f t="shared" si="20"/>
        <v>pnneroo</v>
      </c>
      <c r="AF143" s="22" t="str">
        <f t="shared" si="16"/>
        <v/>
      </c>
      <c r="AG143" s="19" cm="1">
        <f t="array" ref="AG143">MAX(IF($C143:$AB143&lt;AC143,$C143:$AB143))</f>
        <v>0.107468739438999</v>
      </c>
      <c r="AH143" s="20" t="str">
        <f t="shared" si="17"/>
        <v>e</v>
      </c>
      <c r="AI143" s="21" t="str">
        <f t="shared" si="18"/>
        <v>noerore</v>
      </c>
      <c r="AJ143" s="22" t="str">
        <f t="shared" si="19"/>
        <v/>
      </c>
    </row>
    <row r="144" spans="1:36" x14ac:dyDescent="0.25">
      <c r="A144" s="2">
        <v>17</v>
      </c>
      <c r="B144" s="2">
        <v>8</v>
      </c>
      <c r="C144" s="2">
        <v>6.3872930043933698E-2</v>
      </c>
      <c r="D144" s="2">
        <v>1.5545792497465301E-2</v>
      </c>
      <c r="E144" s="2">
        <v>5.2382561676241897E-2</v>
      </c>
      <c r="F144" s="2">
        <v>2.19668807029401E-2</v>
      </c>
      <c r="G144" s="2">
        <v>0.117269347752619</v>
      </c>
      <c r="H144" s="2">
        <v>6.4210882054748196E-3</v>
      </c>
      <c r="I144" s="2">
        <v>1.8249408583981001E-2</v>
      </c>
      <c r="J144" s="2">
        <v>3.04156809733017E-2</v>
      </c>
      <c r="K144" s="2">
        <v>7.8742818519770094E-2</v>
      </c>
      <c r="L144" s="2">
        <v>0</v>
      </c>
      <c r="M144" s="2">
        <v>6.7590402162892799E-4</v>
      </c>
      <c r="N144" s="2">
        <v>5.7113889827644398E-2</v>
      </c>
      <c r="O144" s="2">
        <v>4.9003041568097302E-2</v>
      </c>
      <c r="P144" s="2">
        <v>7.1645826292666401E-2</v>
      </c>
      <c r="Q144" s="2">
        <v>9.3950659006420995E-2</v>
      </c>
      <c r="R144" s="2">
        <v>4.0554241297735702E-2</v>
      </c>
      <c r="S144" s="2">
        <v>6.7590402162892799E-4</v>
      </c>
      <c r="T144" s="2">
        <v>8.5163906725245E-2</v>
      </c>
      <c r="U144" s="2">
        <v>4.9003041568097302E-2</v>
      </c>
      <c r="V144" s="2">
        <v>8.92193308550185E-2</v>
      </c>
      <c r="W144" s="2">
        <v>2.8050016897600501E-2</v>
      </c>
      <c r="X144" s="2">
        <v>6.4210882054748196E-3</v>
      </c>
      <c r="Y144" s="2">
        <v>1.01385603244339E-3</v>
      </c>
      <c r="Z144" s="2">
        <v>1.3518080432578499E-3</v>
      </c>
      <c r="AA144" s="2">
        <v>2.06150726596823E-2</v>
      </c>
      <c r="AB144" s="2">
        <v>6.7590402162892799E-4</v>
      </c>
      <c r="AC144" s="19">
        <f t="shared" si="14"/>
        <v>0.117269347752619</v>
      </c>
      <c r="AD144" s="20" t="str">
        <f t="shared" si="15"/>
        <v>e</v>
      </c>
      <c r="AE144" s="21" t="str">
        <f t="shared" si="20"/>
        <v>pnnerooe</v>
      </c>
      <c r="AF144" s="22" t="str">
        <f t="shared" si="16"/>
        <v/>
      </c>
      <c r="AG144" s="19" cm="1">
        <f t="array" ref="AG144">MAX(IF($C144:$AB144&lt;AC144,$C144:$AB144))</f>
        <v>9.3950659006420995E-2</v>
      </c>
      <c r="AH144" s="20" t="str">
        <f t="shared" si="17"/>
        <v>o</v>
      </c>
      <c r="AI144" s="21" t="str">
        <f t="shared" si="18"/>
        <v>noeroreo</v>
      </c>
      <c r="AJ144" s="22" t="str">
        <f t="shared" si="19"/>
        <v/>
      </c>
    </row>
    <row r="145" spans="1:36" x14ac:dyDescent="0.25">
      <c r="A145" s="2">
        <v>17</v>
      </c>
      <c r="B145" s="2">
        <v>9</v>
      </c>
      <c r="C145" s="2">
        <v>0.101723555255153</v>
      </c>
      <c r="D145" s="2">
        <v>1.0814464346062799E-2</v>
      </c>
      <c r="E145" s="2">
        <v>5.5424129773572098E-2</v>
      </c>
      <c r="F145" s="2">
        <v>2.06150726596823E-2</v>
      </c>
      <c r="G145" s="2">
        <v>8.9557282865833004E-2</v>
      </c>
      <c r="H145" s="2">
        <v>8.1108482595471394E-3</v>
      </c>
      <c r="I145" s="2">
        <v>1.92632646164244E-2</v>
      </c>
      <c r="J145" s="2">
        <v>4.1906049340993498E-2</v>
      </c>
      <c r="K145" s="2">
        <v>0.115579587698546</v>
      </c>
      <c r="L145" s="2">
        <v>1.01385603244339E-3</v>
      </c>
      <c r="M145" s="2">
        <v>1.01385603244339E-3</v>
      </c>
      <c r="N145" s="2">
        <v>3.5484961135518703E-2</v>
      </c>
      <c r="O145" s="2">
        <v>3.8526529232848897E-2</v>
      </c>
      <c r="P145" s="2">
        <v>6.6914498141263906E-2</v>
      </c>
      <c r="Q145" s="2">
        <v>7.5701250422439997E-2</v>
      </c>
      <c r="R145" s="2">
        <v>3.5147009124704198E-2</v>
      </c>
      <c r="S145" s="2">
        <v>1.3518080432578499E-3</v>
      </c>
      <c r="T145" s="2">
        <v>8.5839810746873899E-2</v>
      </c>
      <c r="U145" s="2">
        <v>5.6775937816829998E-2</v>
      </c>
      <c r="V145" s="2">
        <v>8.4825954714430496E-2</v>
      </c>
      <c r="W145" s="2">
        <v>2.9739776951672799E-2</v>
      </c>
      <c r="X145" s="2">
        <v>6.4210882054748196E-3</v>
      </c>
      <c r="Y145" s="2">
        <v>1.3518080432578499E-3</v>
      </c>
      <c r="Z145" s="2">
        <v>2.7036160865157098E-3</v>
      </c>
      <c r="AA145" s="2">
        <v>1.2166272389320699E-2</v>
      </c>
      <c r="AB145" s="2">
        <v>2.0277120648867801E-3</v>
      </c>
      <c r="AC145" s="19">
        <f t="shared" si="14"/>
        <v>0.115579587698546</v>
      </c>
      <c r="AD145" s="20" t="str">
        <f t="shared" si="15"/>
        <v>i</v>
      </c>
      <c r="AE145" s="21" t="str">
        <f t="shared" si="20"/>
        <v>pnnerooei</v>
      </c>
      <c r="AF145" s="22" t="str">
        <f t="shared" si="16"/>
        <v/>
      </c>
      <c r="AG145" s="19" cm="1">
        <f t="array" ref="AG145">MAX(IF($C145:$AB145&lt;AC145,$C145:$AB145))</f>
        <v>0.101723555255153</v>
      </c>
      <c r="AH145" s="20" t="str">
        <f t="shared" si="17"/>
        <v>a</v>
      </c>
      <c r="AI145" s="21" t="str">
        <f t="shared" si="18"/>
        <v>noeroreoa</v>
      </c>
      <c r="AJ145" s="22" t="str">
        <f t="shared" si="19"/>
        <v/>
      </c>
    </row>
    <row r="146" spans="1:36" x14ac:dyDescent="0.25">
      <c r="A146" s="2">
        <v>17</v>
      </c>
      <c r="B146" s="2">
        <v>10</v>
      </c>
      <c r="C146" s="2">
        <v>0.101385603244339</v>
      </c>
      <c r="D146" s="2">
        <v>9.1247042919905298E-3</v>
      </c>
      <c r="E146" s="2">
        <v>3.5484961135518703E-2</v>
      </c>
      <c r="F146" s="2">
        <v>1.41939844542075E-2</v>
      </c>
      <c r="G146" s="2">
        <v>7.4349442379182104E-2</v>
      </c>
      <c r="H146" s="2">
        <v>1.25042244001351E-2</v>
      </c>
      <c r="I146" s="2">
        <v>1.11524163568773E-2</v>
      </c>
      <c r="J146" s="2">
        <v>2.4670496789455799E-2</v>
      </c>
      <c r="K146" s="2">
        <v>0.10713078742818501</v>
      </c>
      <c r="L146" s="2">
        <v>3.37952010814464E-4</v>
      </c>
      <c r="M146" s="2">
        <v>1.01385603244339E-3</v>
      </c>
      <c r="N146" s="2">
        <v>5.2382561676241897E-2</v>
      </c>
      <c r="O146" s="2">
        <v>3.44711051030753E-2</v>
      </c>
      <c r="P146" s="2">
        <v>7.1645826292666401E-2</v>
      </c>
      <c r="Q146" s="2">
        <v>0.106454883406556</v>
      </c>
      <c r="R146" s="2">
        <v>3.0753632984116201E-2</v>
      </c>
      <c r="S146" s="2">
        <v>3.37952010814464E-4</v>
      </c>
      <c r="T146" s="2">
        <v>7.9080770530584599E-2</v>
      </c>
      <c r="U146" s="2">
        <v>6.9280162216965105E-2</v>
      </c>
      <c r="V146" s="2">
        <v>0.115579587698546</v>
      </c>
      <c r="W146" s="2">
        <v>3.44711051030753E-2</v>
      </c>
      <c r="X146" s="2">
        <v>4.39337614058803E-3</v>
      </c>
      <c r="Y146" s="2">
        <v>3.37952010814464E-4</v>
      </c>
      <c r="Z146" s="2">
        <v>6.7590402162892799E-4</v>
      </c>
      <c r="AA146" s="2">
        <v>7.4349442379182101E-3</v>
      </c>
      <c r="AB146" s="2">
        <v>1.3518080432578499E-3</v>
      </c>
      <c r="AC146" s="19">
        <f t="shared" si="14"/>
        <v>0.115579587698546</v>
      </c>
      <c r="AD146" s="20" t="str">
        <f t="shared" si="15"/>
        <v>t</v>
      </c>
      <c r="AE146" s="21" t="str">
        <f t="shared" si="20"/>
        <v>pnnerooeit</v>
      </c>
      <c r="AF146" s="22" t="str">
        <f t="shared" si="16"/>
        <v/>
      </c>
      <c r="AG146" s="19" cm="1">
        <f t="array" ref="AG146">MAX(IF($C146:$AB146&lt;AC146,$C146:$AB146))</f>
        <v>0.10713078742818501</v>
      </c>
      <c r="AH146" s="20" t="str">
        <f t="shared" si="17"/>
        <v>i</v>
      </c>
      <c r="AI146" s="21" t="str">
        <f t="shared" si="18"/>
        <v>noeroreoai</v>
      </c>
      <c r="AJ146" s="22" t="str">
        <f t="shared" si="19"/>
        <v/>
      </c>
    </row>
    <row r="147" spans="1:36" x14ac:dyDescent="0.25">
      <c r="A147" s="2">
        <v>17</v>
      </c>
      <c r="B147" s="2">
        <v>11</v>
      </c>
      <c r="C147" s="2">
        <v>0.101385603244339</v>
      </c>
      <c r="D147" s="2">
        <v>5.0016897600540698E-2</v>
      </c>
      <c r="E147" s="2">
        <v>4.3933761405880303E-2</v>
      </c>
      <c r="F147" s="2">
        <v>1.6897600540723201E-2</v>
      </c>
      <c r="G147" s="2">
        <v>5.1706657654612999E-2</v>
      </c>
      <c r="H147" s="2">
        <v>7.7728962487326799E-3</v>
      </c>
      <c r="I147" s="2">
        <v>2.8050016897600501E-2</v>
      </c>
      <c r="J147" s="2">
        <v>2.9063872930043901E-2</v>
      </c>
      <c r="K147" s="2">
        <v>0.16661034133152999</v>
      </c>
      <c r="L147" s="2">
        <v>0</v>
      </c>
      <c r="M147" s="2">
        <v>1.3518080432578499E-3</v>
      </c>
      <c r="N147" s="2">
        <v>3.8188577222034399E-2</v>
      </c>
      <c r="O147" s="2">
        <v>2.09530246704967E-2</v>
      </c>
      <c r="P147" s="2">
        <v>5.8803649881716699E-2</v>
      </c>
      <c r="Q147" s="2">
        <v>0.120310915849949</v>
      </c>
      <c r="R147" s="2">
        <v>2.6698208854342601E-2</v>
      </c>
      <c r="S147" s="2">
        <v>1.68976005407232E-3</v>
      </c>
      <c r="T147" s="2">
        <v>6.0493409935789097E-2</v>
      </c>
      <c r="U147" s="2">
        <v>2.7036160865157099E-2</v>
      </c>
      <c r="V147" s="2">
        <v>0.11220006759040201</v>
      </c>
      <c r="W147" s="2">
        <v>2.3318688746198E-2</v>
      </c>
      <c r="X147" s="2">
        <v>3.37952010814464E-3</v>
      </c>
      <c r="Y147" s="2">
        <v>0</v>
      </c>
      <c r="Z147" s="2">
        <v>1.01385603244339E-3</v>
      </c>
      <c r="AA147" s="2">
        <v>7.0969922271037498E-3</v>
      </c>
      <c r="AB147" s="2">
        <v>2.0277120648867801E-3</v>
      </c>
      <c r="AC147" s="19">
        <f t="shared" si="14"/>
        <v>0.16661034133152999</v>
      </c>
      <c r="AD147" s="20" t="str">
        <f t="shared" si="15"/>
        <v>i</v>
      </c>
      <c r="AE147" s="21" t="str">
        <f t="shared" si="20"/>
        <v>pnnerooeiti</v>
      </c>
      <c r="AF147" s="22" t="str">
        <f t="shared" si="16"/>
        <v/>
      </c>
      <c r="AG147" s="19" cm="1">
        <f t="array" ref="AG147">MAX(IF($C147:$AB147&lt;AC147,$C147:$AB147))</f>
        <v>0.120310915849949</v>
      </c>
      <c r="AH147" s="20" t="str">
        <f t="shared" si="17"/>
        <v>o</v>
      </c>
      <c r="AI147" s="21" t="str">
        <f t="shared" si="18"/>
        <v>noeroreoaio</v>
      </c>
      <c r="AJ147" s="22" t="str">
        <f t="shared" si="19"/>
        <v/>
      </c>
    </row>
    <row r="148" spans="1:36" x14ac:dyDescent="0.25">
      <c r="A148" s="2">
        <v>17</v>
      </c>
      <c r="B148" s="2">
        <v>12</v>
      </c>
      <c r="C148" s="2">
        <v>7.6039202433254405E-2</v>
      </c>
      <c r="D148" s="2">
        <v>3.00777289624873E-2</v>
      </c>
      <c r="E148" s="2">
        <v>3.5484961135518703E-2</v>
      </c>
      <c r="F148" s="2">
        <v>9.1247042919905298E-3</v>
      </c>
      <c r="G148" s="2">
        <v>6.0493409935789097E-2</v>
      </c>
      <c r="H148" s="2">
        <v>2.0277120648867801E-3</v>
      </c>
      <c r="I148" s="2">
        <v>2.06150726596823E-2</v>
      </c>
      <c r="J148" s="2">
        <v>1.8249408583981001E-2</v>
      </c>
      <c r="K148" s="2">
        <v>0.148022980736735</v>
      </c>
      <c r="L148" s="2">
        <v>0</v>
      </c>
      <c r="M148" s="2">
        <v>6.7590402162892799E-4</v>
      </c>
      <c r="N148" s="2">
        <v>9.3274754984792096E-2</v>
      </c>
      <c r="O148" s="2">
        <v>1.41939844542075E-2</v>
      </c>
      <c r="P148" s="2">
        <v>7.3335586346738701E-2</v>
      </c>
      <c r="Q148" s="2">
        <v>7.1983778303480905E-2</v>
      </c>
      <c r="R148" s="2">
        <v>2.7036160865157099E-2</v>
      </c>
      <c r="S148" s="2">
        <v>0</v>
      </c>
      <c r="T148" s="2">
        <v>5.2720513687056401E-2</v>
      </c>
      <c r="U148" s="2">
        <v>3.5147009124704198E-2</v>
      </c>
      <c r="V148" s="2">
        <v>8.6515714768502797E-2</v>
      </c>
      <c r="W148" s="2">
        <v>6.31970260223048E-2</v>
      </c>
      <c r="X148" s="2">
        <v>3.4809057113889798E-2</v>
      </c>
      <c r="Y148" s="2">
        <v>6.7590402162892799E-4</v>
      </c>
      <c r="Z148" s="2">
        <v>3.37952010814464E-4</v>
      </c>
      <c r="AA148" s="2">
        <v>1.18283203785062E-2</v>
      </c>
      <c r="AB148" s="2">
        <v>3.41331530922609E-2</v>
      </c>
      <c r="AC148" s="19">
        <f t="shared" si="14"/>
        <v>0.148022980736735</v>
      </c>
      <c r="AD148" s="20" t="str">
        <f t="shared" si="15"/>
        <v>i</v>
      </c>
      <c r="AE148" s="21" t="str">
        <f t="shared" si="20"/>
        <v>pnnerooeitii</v>
      </c>
      <c r="AF148" s="22" t="str">
        <f t="shared" si="16"/>
        <v/>
      </c>
      <c r="AG148" s="19" cm="1">
        <f t="array" ref="AG148">MAX(IF($C148:$AB148&lt;AC148,$C148:$AB148))</f>
        <v>9.3274754984792096E-2</v>
      </c>
      <c r="AH148" s="20" t="str">
        <f t="shared" si="17"/>
        <v>l</v>
      </c>
      <c r="AI148" s="21" t="str">
        <f t="shared" si="18"/>
        <v>noeroreoaiol</v>
      </c>
      <c r="AJ148" s="22" t="str">
        <f t="shared" si="19"/>
        <v/>
      </c>
    </row>
    <row r="149" spans="1:36" x14ac:dyDescent="0.25">
      <c r="A149" s="2">
        <v>17</v>
      </c>
      <c r="B149" s="2">
        <v>13</v>
      </c>
      <c r="C149" s="2">
        <v>0.17505914160189201</v>
      </c>
      <c r="D149" s="2">
        <v>4.7313281514024998E-3</v>
      </c>
      <c r="E149" s="2">
        <v>0.114565731666103</v>
      </c>
      <c r="F149" s="2">
        <v>2.4670496789455799E-2</v>
      </c>
      <c r="G149" s="2">
        <v>0.12639405204460899</v>
      </c>
      <c r="H149" s="2">
        <v>3.37952010814464E-4</v>
      </c>
      <c r="I149" s="2">
        <v>2.8050016897600501E-2</v>
      </c>
      <c r="J149" s="2">
        <v>3.6836769178776603E-2</v>
      </c>
      <c r="K149" s="2">
        <v>0.12470429199053699</v>
      </c>
      <c r="L149" s="2">
        <v>0</v>
      </c>
      <c r="M149" s="2">
        <v>3.37952010814464E-4</v>
      </c>
      <c r="N149" s="2">
        <v>5.50861777627576E-2</v>
      </c>
      <c r="O149" s="2">
        <v>1.8587360594795502E-2</v>
      </c>
      <c r="P149" s="2">
        <v>3.9540385265292299E-2</v>
      </c>
      <c r="Q149" s="2">
        <v>6.6576546130449402E-2</v>
      </c>
      <c r="R149" s="2">
        <v>1.0138560324433899E-2</v>
      </c>
      <c r="S149" s="2">
        <v>0</v>
      </c>
      <c r="T149" s="2">
        <v>3.9202433254477802E-2</v>
      </c>
      <c r="U149" s="2">
        <v>6.8604258195336207E-2</v>
      </c>
      <c r="V149" s="2">
        <v>5.0016897600540698E-2</v>
      </c>
      <c r="W149" s="2">
        <v>1.11524163568773E-2</v>
      </c>
      <c r="X149" s="2">
        <v>3.37952010814464E-4</v>
      </c>
      <c r="Y149" s="2">
        <v>0</v>
      </c>
      <c r="Z149" s="2">
        <v>0</v>
      </c>
      <c r="AA149" s="2">
        <v>4.0554241297735697E-3</v>
      </c>
      <c r="AB149" s="2">
        <v>1.01385603244339E-3</v>
      </c>
      <c r="AC149" s="19">
        <f t="shared" si="14"/>
        <v>0.17505914160189201</v>
      </c>
      <c r="AD149" s="20" t="str">
        <f t="shared" si="15"/>
        <v>a</v>
      </c>
      <c r="AE149" s="21" t="str">
        <f t="shared" si="20"/>
        <v>pnnerooeitiia</v>
      </c>
      <c r="AF149" s="22" t="str">
        <f t="shared" si="16"/>
        <v/>
      </c>
      <c r="AG149" s="19" cm="1">
        <f t="array" ref="AG149">MAX(IF($C149:$AB149&lt;AC149,$C149:$AB149))</f>
        <v>0.12639405204460899</v>
      </c>
      <c r="AH149" s="20" t="str">
        <f t="shared" si="17"/>
        <v>e</v>
      </c>
      <c r="AI149" s="21" t="str">
        <f t="shared" si="18"/>
        <v>noeroreoaiole</v>
      </c>
      <c r="AJ149" s="22" t="str">
        <f t="shared" si="19"/>
        <v/>
      </c>
    </row>
    <row r="150" spans="1:36" x14ac:dyDescent="0.25">
      <c r="A150" s="2">
        <v>17</v>
      </c>
      <c r="B150" s="2">
        <v>14</v>
      </c>
      <c r="C150" s="2">
        <v>0.141263940520446</v>
      </c>
      <c r="D150" s="2">
        <v>3.37952010814464E-4</v>
      </c>
      <c r="E150" s="2">
        <v>1.7573504562352099E-2</v>
      </c>
      <c r="F150" s="2">
        <v>9.1247042919905298E-3</v>
      </c>
      <c r="G150" s="2">
        <v>4.9340993578911703E-2</v>
      </c>
      <c r="H150" s="2">
        <v>3.37952010814464E-4</v>
      </c>
      <c r="I150" s="2">
        <v>1.45319364650219E-2</v>
      </c>
      <c r="J150" s="2">
        <v>1.2166272389320699E-2</v>
      </c>
      <c r="K150" s="2">
        <v>9.3612706995606601E-2</v>
      </c>
      <c r="L150" s="2">
        <v>0</v>
      </c>
      <c r="M150" s="2">
        <v>0</v>
      </c>
      <c r="N150" s="2">
        <v>7.7391010476512298E-2</v>
      </c>
      <c r="O150" s="2">
        <v>1.7235552551537602E-2</v>
      </c>
      <c r="P150" s="2">
        <v>0.22744170327813401</v>
      </c>
      <c r="Q150" s="2">
        <v>4.0892193308550102E-2</v>
      </c>
      <c r="R150" s="2">
        <v>1.5883744508279798E-2</v>
      </c>
      <c r="S150" s="2">
        <v>0</v>
      </c>
      <c r="T150" s="2">
        <v>2.5008448800270301E-2</v>
      </c>
      <c r="U150" s="2">
        <v>3.8864481243663401E-2</v>
      </c>
      <c r="V150" s="2">
        <v>0.15478202095302401</v>
      </c>
      <c r="W150" s="2">
        <v>2.9063872930043901E-2</v>
      </c>
      <c r="X150" s="2">
        <v>2.1290976681311202E-2</v>
      </c>
      <c r="Y150" s="2">
        <v>6.7590402162892799E-4</v>
      </c>
      <c r="Z150" s="2">
        <v>3.37952010814464E-4</v>
      </c>
      <c r="AA150" s="2">
        <v>4.0554241297735697E-3</v>
      </c>
      <c r="AB150" s="2">
        <v>8.7867522811760704E-3</v>
      </c>
      <c r="AC150" s="19">
        <f t="shared" si="14"/>
        <v>0.22744170327813401</v>
      </c>
      <c r="AD150" s="20" t="str">
        <f t="shared" si="15"/>
        <v>n</v>
      </c>
      <c r="AE150" s="21" t="str">
        <f t="shared" si="20"/>
        <v>pnnerooeitiian</v>
      </c>
      <c r="AF150" s="22" t="str">
        <f t="shared" si="16"/>
        <v/>
      </c>
      <c r="AG150" s="19" cm="1">
        <f t="array" ref="AG150">MAX(IF($C150:$AB150&lt;AC150,$C150:$AB150))</f>
        <v>0.15478202095302401</v>
      </c>
      <c r="AH150" s="20" t="str">
        <f t="shared" si="17"/>
        <v>t</v>
      </c>
      <c r="AI150" s="21" t="str">
        <f t="shared" si="18"/>
        <v>noeroreoaiolet</v>
      </c>
      <c r="AJ150" s="22" t="str">
        <f t="shared" si="19"/>
        <v/>
      </c>
    </row>
    <row r="151" spans="1:36" x14ac:dyDescent="0.25">
      <c r="A151" s="2">
        <v>17</v>
      </c>
      <c r="B151" s="2">
        <v>15</v>
      </c>
      <c r="C151" s="2">
        <v>2.9739776951672799E-2</v>
      </c>
      <c r="D151" s="2">
        <v>1.3518080432578501E-2</v>
      </c>
      <c r="E151" s="2">
        <v>3.7512673200405501E-2</v>
      </c>
      <c r="F151" s="2">
        <v>3.0415680973301701E-3</v>
      </c>
      <c r="G151" s="2">
        <v>0.22811760729976299</v>
      </c>
      <c r="H151" s="2">
        <v>3.37952010814464E-4</v>
      </c>
      <c r="I151" s="2">
        <v>1.1490368367691701E-2</v>
      </c>
      <c r="J151" s="2">
        <v>1.9939168638053301E-2</v>
      </c>
      <c r="K151" s="2">
        <v>0.27103751267319998</v>
      </c>
      <c r="L151" s="2">
        <v>0</v>
      </c>
      <c r="M151" s="2">
        <v>0</v>
      </c>
      <c r="N151" s="2">
        <v>0.111524163568773</v>
      </c>
      <c r="O151" s="2">
        <v>6.4210882054748196E-3</v>
      </c>
      <c r="P151" s="2">
        <v>3.1091584994930699E-2</v>
      </c>
      <c r="Q151" s="2">
        <v>7.2321730314295299E-2</v>
      </c>
      <c r="R151" s="2">
        <v>1.31801284217641E-2</v>
      </c>
      <c r="S151" s="2">
        <v>0</v>
      </c>
      <c r="T151" s="2">
        <v>1.8587360594795502E-2</v>
      </c>
      <c r="U151" s="2">
        <v>5.9479553903345701E-2</v>
      </c>
      <c r="V151" s="2">
        <v>5.9479553903345701E-2</v>
      </c>
      <c r="W151" s="2">
        <v>1.68976005407232E-3</v>
      </c>
      <c r="X151" s="2">
        <v>6.7590402162892799E-4</v>
      </c>
      <c r="Y151" s="2">
        <v>0</v>
      </c>
      <c r="Z151" s="2">
        <v>1.3518080432578499E-3</v>
      </c>
      <c r="AA151" s="2">
        <v>2.0277120648867801E-3</v>
      </c>
      <c r="AB151" s="2">
        <v>7.4349442379182101E-3</v>
      </c>
      <c r="AC151" s="19">
        <f t="shared" si="14"/>
        <v>0.27103751267319998</v>
      </c>
      <c r="AD151" s="20" t="str">
        <f t="shared" si="15"/>
        <v>i</v>
      </c>
      <c r="AE151" s="21" t="str">
        <f t="shared" si="20"/>
        <v>pnnerooeitiiani</v>
      </c>
      <c r="AF151" s="22" t="str">
        <f t="shared" si="16"/>
        <v/>
      </c>
      <c r="AG151" s="19" cm="1">
        <f t="array" ref="AG151">MAX(IF($C151:$AB151&lt;AC151,$C151:$AB151))</f>
        <v>0.22811760729976299</v>
      </c>
      <c r="AH151" s="20" t="str">
        <f t="shared" si="17"/>
        <v>e</v>
      </c>
      <c r="AI151" s="21" t="str">
        <f t="shared" si="18"/>
        <v>noeroreoaiolete</v>
      </c>
      <c r="AJ151" s="22" t="str">
        <f t="shared" si="19"/>
        <v/>
      </c>
    </row>
    <row r="152" spans="1:36" x14ac:dyDescent="0.25">
      <c r="A152" s="2">
        <v>17</v>
      </c>
      <c r="B152" s="2">
        <v>16</v>
      </c>
      <c r="C152" s="2">
        <v>8.8881378844204106E-2</v>
      </c>
      <c r="D152" s="2">
        <v>0</v>
      </c>
      <c r="E152" s="2">
        <v>1.25042244001351E-2</v>
      </c>
      <c r="F152" s="2">
        <v>2.3656640757012499E-3</v>
      </c>
      <c r="G152" s="2">
        <v>5.5424129773572098E-2</v>
      </c>
      <c r="H152" s="2">
        <v>0</v>
      </c>
      <c r="I152" s="2">
        <v>5.7451841838458903E-3</v>
      </c>
      <c r="J152" s="2">
        <v>1.2166272389320699E-2</v>
      </c>
      <c r="K152" s="2">
        <v>0.11659344373099</v>
      </c>
      <c r="L152" s="2">
        <v>0</v>
      </c>
      <c r="M152" s="2">
        <v>6.7590402162892799E-4</v>
      </c>
      <c r="N152" s="2">
        <v>0.15748563703953999</v>
      </c>
      <c r="O152" s="2">
        <v>1.5545792497465301E-2</v>
      </c>
      <c r="P152" s="2">
        <v>5.7789793849273401E-2</v>
      </c>
      <c r="Q152" s="2">
        <v>0.103413315309226</v>
      </c>
      <c r="R152" s="2">
        <v>1.1490368367691701E-2</v>
      </c>
      <c r="S152" s="2">
        <v>0</v>
      </c>
      <c r="T152" s="2">
        <v>1.5883744508279798E-2</v>
      </c>
      <c r="U152" s="2">
        <v>0.23555255153768101</v>
      </c>
      <c r="V152" s="2">
        <v>5.9817505914160102E-2</v>
      </c>
      <c r="W152" s="2">
        <v>3.04156809733017E-2</v>
      </c>
      <c r="X152" s="2">
        <v>1.2842176410949599E-2</v>
      </c>
      <c r="Y152" s="2">
        <v>0</v>
      </c>
      <c r="Z152" s="2">
        <v>1.01385603244339E-3</v>
      </c>
      <c r="AA152" s="2">
        <v>0</v>
      </c>
      <c r="AB152" s="2">
        <v>4.39337614058803E-3</v>
      </c>
      <c r="AC152" s="19">
        <f t="shared" si="14"/>
        <v>0.23555255153768101</v>
      </c>
      <c r="AD152" s="20" t="str">
        <f t="shared" si="15"/>
        <v>s</v>
      </c>
      <c r="AE152" s="21" t="str">
        <f t="shared" si="20"/>
        <v>pnnerooeitiianis</v>
      </c>
      <c r="AF152" s="22" t="str">
        <f t="shared" si="16"/>
        <v/>
      </c>
      <c r="AG152" s="19" cm="1">
        <f t="array" ref="AG152">MAX(IF($C152:$AB152&lt;AC152,$C152:$AB152))</f>
        <v>0.15748563703953999</v>
      </c>
      <c r="AH152" s="20" t="str">
        <f t="shared" si="17"/>
        <v>l</v>
      </c>
      <c r="AI152" s="21" t="str">
        <f t="shared" si="18"/>
        <v>noeroreoaioletel</v>
      </c>
      <c r="AJ152" s="22" t="str">
        <f t="shared" si="19"/>
        <v/>
      </c>
    </row>
    <row r="153" spans="1:36" x14ac:dyDescent="0.25">
      <c r="A153" s="2">
        <v>17</v>
      </c>
      <c r="B153" s="2">
        <v>17</v>
      </c>
      <c r="C153" s="2">
        <v>2.0277120648867799E-2</v>
      </c>
      <c r="D153" s="2">
        <v>0</v>
      </c>
      <c r="E153" s="2">
        <v>5.7451841838458903E-2</v>
      </c>
      <c r="F153" s="2">
        <v>1.6897600540723201E-2</v>
      </c>
      <c r="G153" s="2">
        <v>7.2321730314295299E-2</v>
      </c>
      <c r="H153" s="2">
        <v>0</v>
      </c>
      <c r="I153" s="2">
        <v>2.1290976681311202E-2</v>
      </c>
      <c r="J153" s="2">
        <v>4.0554241297735697E-3</v>
      </c>
      <c r="K153" s="2">
        <v>0</v>
      </c>
      <c r="L153" s="2">
        <v>0</v>
      </c>
      <c r="M153" s="2">
        <v>3.37952010814464E-4</v>
      </c>
      <c r="N153" s="2">
        <v>7.0969922271037503E-2</v>
      </c>
      <c r="O153" s="2">
        <v>2.3994592767826901E-2</v>
      </c>
      <c r="P153" s="2">
        <v>0.11118621155795801</v>
      </c>
      <c r="Q153" s="2">
        <v>0</v>
      </c>
      <c r="R153" s="2">
        <v>4.7313281514024998E-3</v>
      </c>
      <c r="S153" s="2">
        <v>0</v>
      </c>
      <c r="T153" s="2">
        <v>1.92632646164244E-2</v>
      </c>
      <c r="U153" s="2">
        <v>0.30753632984116203</v>
      </c>
      <c r="V153" s="2">
        <v>3.8526529232848897E-2</v>
      </c>
      <c r="W153" s="2">
        <v>0</v>
      </c>
      <c r="X153" s="2">
        <v>0</v>
      </c>
      <c r="Y153" s="2">
        <v>0</v>
      </c>
      <c r="Z153" s="2">
        <v>6.7590402162892799E-4</v>
      </c>
      <c r="AA153" s="2">
        <v>0.23048327137546401</v>
      </c>
      <c r="AB153" s="2">
        <v>0</v>
      </c>
      <c r="AC153" s="19">
        <f t="shared" si="14"/>
        <v>0.30753632984116203</v>
      </c>
      <c r="AD153" s="20" t="str">
        <f t="shared" si="15"/>
        <v>s</v>
      </c>
      <c r="AE153" s="21" t="str">
        <f t="shared" si="20"/>
        <v>pnnerooeitiianiss</v>
      </c>
      <c r="AF153" s="22" t="str">
        <f t="shared" si="16"/>
        <v>pnnerooeitiianiss</v>
      </c>
      <c r="AG153" s="19" cm="1">
        <f t="array" ref="AG153">MAX(IF($C153:$AB153&lt;AC153,$C153:$AB153))</f>
        <v>0.23048327137546401</v>
      </c>
      <c r="AH153" s="20" t="str">
        <f t="shared" si="17"/>
        <v>y</v>
      </c>
      <c r="AI153" s="21" t="str">
        <f t="shared" si="18"/>
        <v>noeroreoaioletely</v>
      </c>
      <c r="AJ153" s="22" t="str">
        <f t="shared" si="19"/>
        <v>noeroreoaioletely</v>
      </c>
    </row>
    <row r="154" spans="1:36" x14ac:dyDescent="0.25">
      <c r="A154" s="2">
        <v>18</v>
      </c>
      <c r="B154" s="2">
        <v>1</v>
      </c>
      <c r="C154" s="2">
        <v>7.3948439620081394E-2</v>
      </c>
      <c r="D154" s="2">
        <v>1.8317503392130199E-2</v>
      </c>
      <c r="E154" s="2">
        <v>7.3948439620081394E-2</v>
      </c>
      <c r="F154" s="2">
        <v>2.7815468113975499E-2</v>
      </c>
      <c r="G154" s="2">
        <v>3.5956580732700097E-2</v>
      </c>
      <c r="H154" s="2">
        <v>3.3921302578018898E-3</v>
      </c>
      <c r="I154" s="2">
        <v>1.0176390773405699E-2</v>
      </c>
      <c r="J154" s="2">
        <v>5.5630936227951101E-2</v>
      </c>
      <c r="K154" s="2">
        <v>5.9701492537313397E-2</v>
      </c>
      <c r="L154" s="2">
        <v>6.78426051560379E-4</v>
      </c>
      <c r="M154" s="2">
        <v>0</v>
      </c>
      <c r="N154" s="2">
        <v>8.1411126187245497E-3</v>
      </c>
      <c r="O154" s="2">
        <v>3.5956580732700097E-2</v>
      </c>
      <c r="P154" s="2">
        <v>0.122795115332428</v>
      </c>
      <c r="Q154" s="2">
        <v>6.2415196743554897E-2</v>
      </c>
      <c r="R154" s="2">
        <v>0.14314789687924001</v>
      </c>
      <c r="S154" s="2">
        <v>2.7137042062415099E-3</v>
      </c>
      <c r="T154" s="2">
        <v>1.0176390773405699E-2</v>
      </c>
      <c r="U154" s="2">
        <v>0.11601085481682399</v>
      </c>
      <c r="V154" s="2">
        <v>4.4097693351424598E-2</v>
      </c>
      <c r="W154" s="2">
        <v>8.54816824966078E-2</v>
      </c>
      <c r="X154" s="2">
        <v>6.78426051560379E-3</v>
      </c>
      <c r="Y154" s="2">
        <v>0</v>
      </c>
      <c r="Z154" s="2">
        <v>0</v>
      </c>
      <c r="AA154" s="2">
        <v>0</v>
      </c>
      <c r="AB154" s="2">
        <v>2.7137042062415099E-3</v>
      </c>
      <c r="AC154" s="19">
        <f t="shared" si="14"/>
        <v>0.14314789687924001</v>
      </c>
      <c r="AD154" s="20" t="str">
        <f t="shared" si="15"/>
        <v>p</v>
      </c>
      <c r="AE154" s="21" t="str">
        <f t="shared" si="20"/>
        <v>p</v>
      </c>
      <c r="AF154" s="22" t="str">
        <f t="shared" si="16"/>
        <v/>
      </c>
      <c r="AG154" s="19" cm="1">
        <f t="array" ref="AG154">MAX(IF($C154:$AB154&lt;AC154,$C154:$AB154))</f>
        <v>0.122795115332428</v>
      </c>
      <c r="AH154" s="20" t="str">
        <f t="shared" si="17"/>
        <v>n</v>
      </c>
      <c r="AI154" s="21" t="str">
        <f t="shared" si="18"/>
        <v>n</v>
      </c>
      <c r="AJ154" s="22" t="str">
        <f t="shared" si="19"/>
        <v/>
      </c>
    </row>
    <row r="155" spans="1:36" x14ac:dyDescent="0.25">
      <c r="A155" s="2">
        <v>18</v>
      </c>
      <c r="B155" s="2">
        <v>2</v>
      </c>
      <c r="C155" s="2">
        <v>6.1058344640434102E-2</v>
      </c>
      <c r="D155" s="2">
        <v>1.35685210312075E-3</v>
      </c>
      <c r="E155" s="2">
        <v>8.1411126187245497E-3</v>
      </c>
      <c r="F155" s="2">
        <v>2.7137042062415099E-3</v>
      </c>
      <c r="G155" s="2">
        <v>8.2767978290366306E-2</v>
      </c>
      <c r="H155" s="2">
        <v>0</v>
      </c>
      <c r="I155" s="2">
        <v>1.35685210312075E-3</v>
      </c>
      <c r="J155" s="2">
        <v>6.4450474898235993E-2</v>
      </c>
      <c r="K155" s="2">
        <v>5.3595658073269999E-2</v>
      </c>
      <c r="L155" s="2">
        <v>0</v>
      </c>
      <c r="M155" s="2">
        <v>0</v>
      </c>
      <c r="N155" s="2">
        <v>2.9850746268656699E-2</v>
      </c>
      <c r="O155" s="2">
        <v>6.78426051560379E-3</v>
      </c>
      <c r="P155" s="2">
        <v>0.17706919945725899</v>
      </c>
      <c r="Q155" s="2">
        <v>0.170284938941655</v>
      </c>
      <c r="R155" s="2">
        <v>2.5780189959294399E-2</v>
      </c>
      <c r="S155" s="2">
        <v>6.78426051560379E-4</v>
      </c>
      <c r="T155" s="2">
        <v>6.4450474898235993E-2</v>
      </c>
      <c r="U155" s="2">
        <v>6.0379918588873802E-2</v>
      </c>
      <c r="V155" s="2">
        <v>9.4979647218453103E-3</v>
      </c>
      <c r="W155" s="2">
        <v>7.8018995929443696E-2</v>
      </c>
      <c r="X155" s="2">
        <v>5.0203527815468101E-2</v>
      </c>
      <c r="Y155" s="2">
        <v>0</v>
      </c>
      <c r="Z155" s="2">
        <v>5.4274084124830303E-3</v>
      </c>
      <c r="AA155" s="2">
        <v>4.6132971506105798E-2</v>
      </c>
      <c r="AB155" s="2">
        <v>0</v>
      </c>
      <c r="AC155" s="19">
        <f t="shared" si="14"/>
        <v>0.17706919945725899</v>
      </c>
      <c r="AD155" s="20" t="str">
        <f t="shared" si="15"/>
        <v>n</v>
      </c>
      <c r="AE155" s="21" t="str">
        <f t="shared" si="20"/>
        <v>pn</v>
      </c>
      <c r="AF155" s="22" t="str">
        <f t="shared" si="16"/>
        <v/>
      </c>
      <c r="AG155" s="19" cm="1">
        <f t="array" ref="AG155">MAX(IF($C155:$AB155&lt;AC155,$C155:$AB155))</f>
        <v>0.170284938941655</v>
      </c>
      <c r="AH155" s="20" t="str">
        <f t="shared" si="17"/>
        <v>o</v>
      </c>
      <c r="AI155" s="21" t="str">
        <f t="shared" si="18"/>
        <v>no</v>
      </c>
      <c r="AJ155" s="22" t="str">
        <f t="shared" si="19"/>
        <v/>
      </c>
    </row>
    <row r="156" spans="1:36" x14ac:dyDescent="0.25">
      <c r="A156" s="2">
        <v>18</v>
      </c>
      <c r="B156" s="2">
        <v>3</v>
      </c>
      <c r="C156" s="2">
        <v>4.6811397557666203E-2</v>
      </c>
      <c r="D156" s="2">
        <v>1.7639077340569801E-2</v>
      </c>
      <c r="E156" s="2">
        <v>5.6987788331071897E-2</v>
      </c>
      <c r="F156" s="2">
        <v>2.9850746268656699E-2</v>
      </c>
      <c r="G156" s="2">
        <v>0.175033921302578</v>
      </c>
      <c r="H156" s="2">
        <v>1.35685210312075E-3</v>
      </c>
      <c r="I156" s="2">
        <v>1.0176390773405699E-2</v>
      </c>
      <c r="J156" s="2">
        <v>1.22116689280868E-2</v>
      </c>
      <c r="K156" s="2">
        <v>2.0352781546811399E-2</v>
      </c>
      <c r="L156" s="2">
        <v>0</v>
      </c>
      <c r="M156" s="2">
        <v>6.78426051560379E-4</v>
      </c>
      <c r="N156" s="2">
        <v>5.2238805970149203E-2</v>
      </c>
      <c r="O156" s="2">
        <v>3.79918588873812E-2</v>
      </c>
      <c r="P156" s="2">
        <v>0.13839891451831701</v>
      </c>
      <c r="Q156" s="2">
        <v>4.6132971506105798E-2</v>
      </c>
      <c r="R156" s="2">
        <v>9.4979647218453103E-2</v>
      </c>
      <c r="S156" s="2">
        <v>6.78426051560379E-4</v>
      </c>
      <c r="T156" s="2">
        <v>4.0705563093622797E-2</v>
      </c>
      <c r="U156" s="2">
        <v>5.2238805970149203E-2</v>
      </c>
      <c r="V156" s="2">
        <v>0.109226594301221</v>
      </c>
      <c r="W156" s="2">
        <v>2.84938941655359E-2</v>
      </c>
      <c r="X156" s="2">
        <v>1.35685210312075E-3</v>
      </c>
      <c r="Y156" s="2">
        <v>0</v>
      </c>
      <c r="Z156" s="2">
        <v>2.0352781546811301E-3</v>
      </c>
      <c r="AA156" s="2">
        <v>2.4423337856173601E-2</v>
      </c>
      <c r="AB156" s="2">
        <v>0</v>
      </c>
      <c r="AC156" s="19">
        <f t="shared" si="14"/>
        <v>0.175033921302578</v>
      </c>
      <c r="AD156" s="20" t="str">
        <f t="shared" si="15"/>
        <v>e</v>
      </c>
      <c r="AE156" s="21" t="str">
        <f t="shared" si="20"/>
        <v>pne</v>
      </c>
      <c r="AF156" s="22" t="str">
        <f t="shared" si="16"/>
        <v/>
      </c>
      <c r="AG156" s="19" cm="1">
        <f t="array" ref="AG156">MAX(IF($C156:$AB156&lt;AC156,$C156:$AB156))</f>
        <v>0.13839891451831701</v>
      </c>
      <c r="AH156" s="20" t="str">
        <f t="shared" si="17"/>
        <v>n</v>
      </c>
      <c r="AI156" s="21" t="str">
        <f t="shared" si="18"/>
        <v>non</v>
      </c>
      <c r="AJ156" s="22" t="str">
        <f t="shared" si="19"/>
        <v/>
      </c>
    </row>
    <row r="157" spans="1:36" x14ac:dyDescent="0.25">
      <c r="A157" s="2">
        <v>18</v>
      </c>
      <c r="B157" s="2">
        <v>4</v>
      </c>
      <c r="C157" s="2">
        <v>4.8846675712347298E-2</v>
      </c>
      <c r="D157" s="2">
        <v>6.78426051560379E-3</v>
      </c>
      <c r="E157" s="2">
        <v>8.8195386702849293E-2</v>
      </c>
      <c r="F157" s="2">
        <v>2.5780189959294399E-2</v>
      </c>
      <c r="G157" s="2">
        <v>0.15535956580732699</v>
      </c>
      <c r="H157" s="2">
        <v>4.0705563093622697E-3</v>
      </c>
      <c r="I157" s="2">
        <v>2.7137042062415099E-3</v>
      </c>
      <c r="J157" s="2">
        <v>2.7137042062415101E-2</v>
      </c>
      <c r="K157" s="2">
        <v>9.9728629579375797E-2</v>
      </c>
      <c r="L157" s="2">
        <v>6.78426051560379E-4</v>
      </c>
      <c r="M157" s="2">
        <v>6.78426051560379E-4</v>
      </c>
      <c r="N157" s="2">
        <v>1.1533242876526399E-2</v>
      </c>
      <c r="O157" s="2">
        <v>2.3066485753052899E-2</v>
      </c>
      <c r="P157" s="2">
        <v>6.3093622795115295E-2</v>
      </c>
      <c r="Q157" s="2">
        <v>5.6987788331071897E-2</v>
      </c>
      <c r="R157" s="2">
        <v>4.6811397557666203E-2</v>
      </c>
      <c r="S157" s="2">
        <v>1.35685210312075E-3</v>
      </c>
      <c r="T157" s="2">
        <v>0.14586160108548099</v>
      </c>
      <c r="U157" s="2">
        <v>3.5956580732700097E-2</v>
      </c>
      <c r="V157" s="2">
        <v>7.5983717774762496E-2</v>
      </c>
      <c r="W157" s="2">
        <v>5.9701492537313397E-2</v>
      </c>
      <c r="X157" s="2">
        <v>2.0352781546811301E-3</v>
      </c>
      <c r="Y157" s="2">
        <v>0</v>
      </c>
      <c r="Z157" s="2">
        <v>2.7137042062415099E-3</v>
      </c>
      <c r="AA157" s="2">
        <v>1.28900949796472E-2</v>
      </c>
      <c r="AB157" s="2">
        <v>2.0352781546811301E-3</v>
      </c>
      <c r="AC157" s="19">
        <f t="shared" si="14"/>
        <v>0.15535956580732699</v>
      </c>
      <c r="AD157" s="20" t="str">
        <f t="shared" si="15"/>
        <v>e</v>
      </c>
      <c r="AE157" s="21" t="str">
        <f t="shared" si="20"/>
        <v>pnee</v>
      </c>
      <c r="AF157" s="22" t="str">
        <f t="shared" si="16"/>
        <v/>
      </c>
      <c r="AG157" s="19" cm="1">
        <f t="array" ref="AG157">MAX(IF($C157:$AB157&lt;AC157,$C157:$AB157))</f>
        <v>0.14586160108548099</v>
      </c>
      <c r="AH157" s="20" t="str">
        <f t="shared" si="17"/>
        <v>r</v>
      </c>
      <c r="AI157" s="21" t="str">
        <f t="shared" si="18"/>
        <v>nonr</v>
      </c>
      <c r="AJ157" s="22" t="str">
        <f t="shared" si="19"/>
        <v/>
      </c>
    </row>
    <row r="158" spans="1:36" x14ac:dyDescent="0.25">
      <c r="A158" s="2">
        <v>18</v>
      </c>
      <c r="B158" s="2">
        <v>5</v>
      </c>
      <c r="C158" s="2">
        <v>5.2917232021709601E-2</v>
      </c>
      <c r="D158" s="2">
        <v>5.4274084124830303E-3</v>
      </c>
      <c r="E158" s="2">
        <v>4.00271370420624E-2</v>
      </c>
      <c r="F158" s="2">
        <v>6.4450474898235993E-2</v>
      </c>
      <c r="G158" s="2">
        <v>8.7516960651289E-2</v>
      </c>
      <c r="H158" s="2">
        <v>6.1058344640434097E-3</v>
      </c>
      <c r="I158" s="2">
        <v>3.3921302578018898E-3</v>
      </c>
      <c r="J158" s="2">
        <v>3.79918588873812E-2</v>
      </c>
      <c r="K158" s="2">
        <v>5.9023066485752999E-2</v>
      </c>
      <c r="L158" s="2">
        <v>6.78426051560379E-4</v>
      </c>
      <c r="M158" s="2">
        <v>6.1058344640434097E-3</v>
      </c>
      <c r="N158" s="2">
        <v>2.17096336499321E-2</v>
      </c>
      <c r="O158" s="2">
        <v>4.1383989145183098E-2</v>
      </c>
      <c r="P158" s="2">
        <v>5.0203527815468101E-2</v>
      </c>
      <c r="Q158" s="2">
        <v>0.13161465400271299</v>
      </c>
      <c r="R158" s="2">
        <v>4.4776119402985003E-2</v>
      </c>
      <c r="S158" s="2">
        <v>1.35685210312075E-3</v>
      </c>
      <c r="T158" s="2">
        <v>0.17706919945725899</v>
      </c>
      <c r="U158" s="2">
        <v>4.1383989145183098E-2</v>
      </c>
      <c r="V158" s="2">
        <v>8.6838534599728595E-2</v>
      </c>
      <c r="W158" s="2">
        <v>1.7639077340569801E-2</v>
      </c>
      <c r="X158" s="2">
        <v>2.0352781546811301E-3</v>
      </c>
      <c r="Y158" s="2">
        <v>0</v>
      </c>
      <c r="Z158" s="2">
        <v>5.4274084124830303E-3</v>
      </c>
      <c r="AA158" s="2">
        <v>1.4925373134328301E-2</v>
      </c>
      <c r="AB158" s="2">
        <v>0</v>
      </c>
      <c r="AC158" s="19">
        <f t="shared" si="14"/>
        <v>0.17706919945725899</v>
      </c>
      <c r="AD158" s="20" t="str">
        <f t="shared" si="15"/>
        <v>r</v>
      </c>
      <c r="AE158" s="21" t="str">
        <f t="shared" si="20"/>
        <v>pneer</v>
      </c>
      <c r="AF158" s="22" t="str">
        <f t="shared" si="16"/>
        <v/>
      </c>
      <c r="AG158" s="19" cm="1">
        <f t="array" ref="AG158">MAX(IF($C158:$AB158&lt;AC158,$C158:$AB158))</f>
        <v>0.13161465400271299</v>
      </c>
      <c r="AH158" s="20" t="str">
        <f t="shared" si="17"/>
        <v>o</v>
      </c>
      <c r="AI158" s="21" t="str">
        <f t="shared" si="18"/>
        <v>nonro</v>
      </c>
      <c r="AJ158" s="22" t="str">
        <f t="shared" si="19"/>
        <v/>
      </c>
    </row>
    <row r="159" spans="1:36" x14ac:dyDescent="0.25">
      <c r="A159" s="2">
        <v>18</v>
      </c>
      <c r="B159" s="2">
        <v>6</v>
      </c>
      <c r="C159" s="2">
        <v>5.5630936227951101E-2</v>
      </c>
      <c r="D159" s="2">
        <v>8.81953867028493E-3</v>
      </c>
      <c r="E159" s="2">
        <v>8.1411126187245594E-2</v>
      </c>
      <c r="F159" s="2">
        <v>2.3744911804613199E-2</v>
      </c>
      <c r="G159" s="2">
        <v>9.8371777476255001E-2</v>
      </c>
      <c r="H159" s="2">
        <v>6.78426051560379E-3</v>
      </c>
      <c r="I159" s="2">
        <v>1.56037991858887E-2</v>
      </c>
      <c r="J159" s="2">
        <v>3.5278154681139699E-2</v>
      </c>
      <c r="K159" s="2">
        <v>5.9023066485752999E-2</v>
      </c>
      <c r="L159" s="2">
        <v>2.7137042062415099E-3</v>
      </c>
      <c r="M159" s="2">
        <v>2.7137042062415099E-3</v>
      </c>
      <c r="N159" s="2">
        <v>2.7137042062415101E-2</v>
      </c>
      <c r="O159" s="2">
        <v>4.8168249660786901E-2</v>
      </c>
      <c r="P159" s="2">
        <v>4.8846675712347298E-2</v>
      </c>
      <c r="Q159" s="2">
        <v>0.178426051560379</v>
      </c>
      <c r="R159" s="2">
        <v>5.5630936227951101E-2</v>
      </c>
      <c r="S159" s="2">
        <v>2.7137042062415099E-3</v>
      </c>
      <c r="T159" s="2">
        <v>9.7693351424694694E-2</v>
      </c>
      <c r="U159" s="2">
        <v>6.3093622795115295E-2</v>
      </c>
      <c r="V159" s="2">
        <v>4.9525101763907703E-2</v>
      </c>
      <c r="W159" s="2">
        <v>1.7639077340569801E-2</v>
      </c>
      <c r="X159" s="2">
        <v>6.78426051560379E-3</v>
      </c>
      <c r="Y159" s="2">
        <v>0</v>
      </c>
      <c r="Z159" s="2">
        <v>2.7137042062415099E-3</v>
      </c>
      <c r="AA159" s="2">
        <v>1.0176390773405699E-2</v>
      </c>
      <c r="AB159" s="2">
        <v>1.35685210312075E-3</v>
      </c>
      <c r="AC159" s="19">
        <f t="shared" si="14"/>
        <v>0.178426051560379</v>
      </c>
      <c r="AD159" s="20" t="str">
        <f t="shared" si="15"/>
        <v>o</v>
      </c>
      <c r="AE159" s="21" t="str">
        <f t="shared" si="20"/>
        <v>pneero</v>
      </c>
      <c r="AF159" s="22" t="str">
        <f t="shared" si="16"/>
        <v/>
      </c>
      <c r="AG159" s="19" cm="1">
        <f t="array" ref="AG159">MAX(IF($C159:$AB159&lt;AC159,$C159:$AB159))</f>
        <v>9.8371777476255001E-2</v>
      </c>
      <c r="AH159" s="20" t="str">
        <f t="shared" si="17"/>
        <v>e</v>
      </c>
      <c r="AI159" s="21" t="str">
        <f t="shared" si="18"/>
        <v>nonroe</v>
      </c>
      <c r="AJ159" s="22" t="str">
        <f t="shared" si="19"/>
        <v/>
      </c>
    </row>
    <row r="160" spans="1:36" x14ac:dyDescent="0.25">
      <c r="A160" s="2">
        <v>18</v>
      </c>
      <c r="B160" s="2">
        <v>7</v>
      </c>
      <c r="C160" s="2">
        <v>6.37720488466757E-2</v>
      </c>
      <c r="D160" s="2">
        <v>1.4925373134328301E-2</v>
      </c>
      <c r="E160" s="2">
        <v>4.3419267299864298E-2</v>
      </c>
      <c r="F160" s="2">
        <v>1.9674355495251001E-2</v>
      </c>
      <c r="G160" s="2">
        <v>0.119402985074626</v>
      </c>
      <c r="H160" s="2">
        <v>1.28900949796472E-2</v>
      </c>
      <c r="I160" s="2">
        <v>2.17096336499321E-2</v>
      </c>
      <c r="J160" s="2">
        <v>4.00271370420624E-2</v>
      </c>
      <c r="K160" s="2">
        <v>5.4952510176390697E-2</v>
      </c>
      <c r="L160" s="2">
        <v>0</v>
      </c>
      <c r="M160" s="2">
        <v>2.0352781546811301E-3</v>
      </c>
      <c r="N160" s="2">
        <v>4.00271370420624E-2</v>
      </c>
      <c r="O160" s="2">
        <v>3.0529172320216999E-2</v>
      </c>
      <c r="P160" s="2">
        <v>6.3093622795115295E-2</v>
      </c>
      <c r="Q160" s="2">
        <v>0.13704206241519601</v>
      </c>
      <c r="R160" s="2">
        <v>7.0556309362279496E-2</v>
      </c>
      <c r="S160" s="2">
        <v>0</v>
      </c>
      <c r="T160" s="2">
        <v>9.9728629579375797E-2</v>
      </c>
      <c r="U160" s="2">
        <v>5.6987788331071897E-2</v>
      </c>
      <c r="V160" s="2">
        <v>5.9701492537313397E-2</v>
      </c>
      <c r="W160" s="2">
        <v>2.64586160108548E-2</v>
      </c>
      <c r="X160" s="2">
        <v>8.1411126187245497E-3</v>
      </c>
      <c r="Y160" s="2">
        <v>0</v>
      </c>
      <c r="Z160" s="2">
        <v>2.7137042062415099E-3</v>
      </c>
      <c r="AA160" s="2">
        <v>1.22116689280868E-2</v>
      </c>
      <c r="AB160" s="2">
        <v>0</v>
      </c>
      <c r="AC160" s="19">
        <f t="shared" si="14"/>
        <v>0.13704206241519601</v>
      </c>
      <c r="AD160" s="20" t="str">
        <f t="shared" si="15"/>
        <v>o</v>
      </c>
      <c r="AE160" s="21" t="str">
        <f t="shared" si="20"/>
        <v>pneeroo</v>
      </c>
      <c r="AF160" s="22" t="str">
        <f t="shared" si="16"/>
        <v/>
      </c>
      <c r="AG160" s="19" cm="1">
        <f t="array" ref="AG160">MAX(IF($C160:$AB160&lt;AC160,$C160:$AB160))</f>
        <v>0.119402985074626</v>
      </c>
      <c r="AH160" s="20" t="str">
        <f t="shared" si="17"/>
        <v>e</v>
      </c>
      <c r="AI160" s="21" t="str">
        <f t="shared" si="18"/>
        <v>nonroee</v>
      </c>
      <c r="AJ160" s="22" t="str">
        <f t="shared" si="19"/>
        <v/>
      </c>
    </row>
    <row r="161" spans="1:36" x14ac:dyDescent="0.25">
      <c r="A161" s="2">
        <v>18</v>
      </c>
      <c r="B161" s="2">
        <v>8</v>
      </c>
      <c r="C161" s="2">
        <v>5.9023066485752999E-2</v>
      </c>
      <c r="D161" s="2">
        <v>7.4626865671641703E-3</v>
      </c>
      <c r="E161" s="2">
        <v>5.9023066485752999E-2</v>
      </c>
      <c r="F161" s="2">
        <v>2.7815468113975499E-2</v>
      </c>
      <c r="G161" s="2">
        <v>8.8873812754409698E-2</v>
      </c>
      <c r="H161" s="2">
        <v>1.0176390773405699E-2</v>
      </c>
      <c r="I161" s="2">
        <v>1.9674355495251001E-2</v>
      </c>
      <c r="J161" s="2">
        <v>4.4097693351424598E-2</v>
      </c>
      <c r="K161" s="2">
        <v>7.6662143826322901E-2</v>
      </c>
      <c r="L161" s="2">
        <v>2.0352781546811301E-3</v>
      </c>
      <c r="M161" s="2">
        <v>6.78426051560379E-4</v>
      </c>
      <c r="N161" s="2">
        <v>5.9023066485752999E-2</v>
      </c>
      <c r="O161" s="2">
        <v>4.1383989145183098E-2</v>
      </c>
      <c r="P161" s="2">
        <v>7.2591587516960598E-2</v>
      </c>
      <c r="Q161" s="2">
        <v>0.10040705563093601</v>
      </c>
      <c r="R161" s="2">
        <v>4.4776119402985003E-2</v>
      </c>
      <c r="S161" s="2">
        <v>2.7137042062415099E-3</v>
      </c>
      <c r="T161" s="2">
        <v>9.2944369063772E-2</v>
      </c>
      <c r="U161" s="2">
        <v>4.4097693351424598E-2</v>
      </c>
      <c r="V161" s="2">
        <v>8.4803256445047395E-2</v>
      </c>
      <c r="W161" s="2">
        <v>2.9850746268656699E-2</v>
      </c>
      <c r="X161" s="2">
        <v>7.4626865671641703E-3</v>
      </c>
      <c r="Y161" s="2">
        <v>6.78426051560379E-4</v>
      </c>
      <c r="Z161" s="2">
        <v>2.0352781546811301E-3</v>
      </c>
      <c r="AA161" s="2">
        <v>2.17096336499321E-2</v>
      </c>
      <c r="AB161" s="2">
        <v>0</v>
      </c>
      <c r="AC161" s="19">
        <f t="shared" si="14"/>
        <v>0.10040705563093601</v>
      </c>
      <c r="AD161" s="20" t="str">
        <f t="shared" si="15"/>
        <v>o</v>
      </c>
      <c r="AE161" s="21" t="str">
        <f t="shared" si="20"/>
        <v>pneerooo</v>
      </c>
      <c r="AF161" s="22" t="str">
        <f t="shared" si="16"/>
        <v/>
      </c>
      <c r="AG161" s="19" cm="1">
        <f t="array" ref="AG161">MAX(IF($C161:$AB161&lt;AC161,$C161:$AB161))</f>
        <v>9.2944369063772E-2</v>
      </c>
      <c r="AH161" s="20" t="str">
        <f t="shared" si="17"/>
        <v>r</v>
      </c>
      <c r="AI161" s="21" t="str">
        <f t="shared" si="18"/>
        <v>nonroeer</v>
      </c>
      <c r="AJ161" s="22" t="str">
        <f t="shared" si="19"/>
        <v/>
      </c>
    </row>
    <row r="162" spans="1:36" x14ac:dyDescent="0.25">
      <c r="A162" s="2">
        <v>18</v>
      </c>
      <c r="B162" s="2">
        <v>9</v>
      </c>
      <c r="C162" s="2">
        <v>7.0556309362279496E-2</v>
      </c>
      <c r="D162" s="2">
        <v>1.6282225237449099E-2</v>
      </c>
      <c r="E162" s="2">
        <v>5.1560379918588799E-2</v>
      </c>
      <c r="F162" s="2">
        <v>1.56037991858887E-2</v>
      </c>
      <c r="G162" s="2">
        <v>0.11533242876526401</v>
      </c>
      <c r="H162" s="2">
        <v>1.0854816824966E-2</v>
      </c>
      <c r="I162" s="2">
        <v>1.1533242876526399E-2</v>
      </c>
      <c r="J162" s="2">
        <v>3.5278154681139699E-2</v>
      </c>
      <c r="K162" s="2">
        <v>8.8873812754409698E-2</v>
      </c>
      <c r="L162" s="2">
        <v>0</v>
      </c>
      <c r="M162" s="2">
        <v>0</v>
      </c>
      <c r="N162" s="2">
        <v>4.1383989145183098E-2</v>
      </c>
      <c r="O162" s="2">
        <v>4.8846675712347298E-2</v>
      </c>
      <c r="P162" s="2">
        <v>5.4952510176390697E-2</v>
      </c>
      <c r="Q162" s="2">
        <v>0.10719131614654</v>
      </c>
      <c r="R162" s="2">
        <v>4.2062415196743502E-2</v>
      </c>
      <c r="S162" s="2">
        <v>2.7137042062415099E-3</v>
      </c>
      <c r="T162" s="2">
        <v>8.0054274084124799E-2</v>
      </c>
      <c r="U162" s="2">
        <v>7.0556309362279496E-2</v>
      </c>
      <c r="V162" s="2">
        <v>8.0054274084124799E-2</v>
      </c>
      <c r="W162" s="2">
        <v>2.84938941655359E-2</v>
      </c>
      <c r="X162" s="2">
        <v>1.0176390773405699E-2</v>
      </c>
      <c r="Y162" s="2">
        <v>1.35685210312075E-3</v>
      </c>
      <c r="Z162" s="2">
        <v>2.7137042062415099E-3</v>
      </c>
      <c r="AA162" s="2">
        <v>1.35685210312075E-2</v>
      </c>
      <c r="AB162" s="2">
        <v>0</v>
      </c>
      <c r="AC162" s="19">
        <f t="shared" si="14"/>
        <v>0.11533242876526401</v>
      </c>
      <c r="AD162" s="20" t="str">
        <f t="shared" si="15"/>
        <v>e</v>
      </c>
      <c r="AE162" s="21" t="str">
        <f t="shared" si="20"/>
        <v>pneeroooe</v>
      </c>
      <c r="AF162" s="22" t="str">
        <f t="shared" si="16"/>
        <v/>
      </c>
      <c r="AG162" s="19" cm="1">
        <f t="array" ref="AG162">MAX(IF($C162:$AB162&lt;AC162,$C162:$AB162))</f>
        <v>0.10719131614654</v>
      </c>
      <c r="AH162" s="20" t="str">
        <f t="shared" si="17"/>
        <v>o</v>
      </c>
      <c r="AI162" s="21" t="str">
        <f t="shared" si="18"/>
        <v>nonroeero</v>
      </c>
      <c r="AJ162" s="22" t="str">
        <f t="shared" si="19"/>
        <v/>
      </c>
    </row>
    <row r="163" spans="1:36" x14ac:dyDescent="0.25">
      <c r="A163" s="2">
        <v>18</v>
      </c>
      <c r="B163" s="2">
        <v>10</v>
      </c>
      <c r="C163" s="2">
        <v>8.6838534599728595E-2</v>
      </c>
      <c r="D163" s="2">
        <v>7.4626865671641703E-3</v>
      </c>
      <c r="E163" s="2">
        <v>5.1560379918588799E-2</v>
      </c>
      <c r="F163" s="2">
        <v>2.5101763907734002E-2</v>
      </c>
      <c r="G163" s="2">
        <v>7.3948439620081394E-2</v>
      </c>
      <c r="H163" s="2">
        <v>6.78426051560379E-3</v>
      </c>
      <c r="I163" s="2">
        <v>2.5101763907734002E-2</v>
      </c>
      <c r="J163" s="2">
        <v>4.8168249660786901E-2</v>
      </c>
      <c r="K163" s="2">
        <v>0.118046132971506</v>
      </c>
      <c r="L163" s="2">
        <v>1.35685210312075E-3</v>
      </c>
      <c r="M163" s="2">
        <v>0</v>
      </c>
      <c r="N163" s="2">
        <v>5.0203527815468101E-2</v>
      </c>
      <c r="O163" s="2">
        <v>4.2062415196743502E-2</v>
      </c>
      <c r="P163" s="2">
        <v>6.4450474898235993E-2</v>
      </c>
      <c r="Q163" s="2">
        <v>7.8018995929443696E-2</v>
      </c>
      <c r="R163" s="2">
        <v>3.1886024423337801E-2</v>
      </c>
      <c r="S163" s="2">
        <v>6.78426051560379E-4</v>
      </c>
      <c r="T163" s="2">
        <v>8.0732700135685204E-2</v>
      </c>
      <c r="U163" s="2">
        <v>5.2917232021709601E-2</v>
      </c>
      <c r="V163" s="2">
        <v>0.103120759837177</v>
      </c>
      <c r="W163" s="2">
        <v>3.0529172320216999E-2</v>
      </c>
      <c r="X163" s="2">
        <v>8.81953867028493E-3</v>
      </c>
      <c r="Y163" s="2">
        <v>0</v>
      </c>
      <c r="Z163" s="2">
        <v>1.35685210312075E-3</v>
      </c>
      <c r="AA163" s="2">
        <v>1.0176390773405699E-2</v>
      </c>
      <c r="AB163" s="2">
        <v>6.78426051560379E-4</v>
      </c>
      <c r="AC163" s="19">
        <f t="shared" si="14"/>
        <v>0.118046132971506</v>
      </c>
      <c r="AD163" s="20" t="str">
        <f t="shared" si="15"/>
        <v>i</v>
      </c>
      <c r="AE163" s="21" t="str">
        <f t="shared" si="20"/>
        <v>pneeroooei</v>
      </c>
      <c r="AF163" s="22" t="str">
        <f t="shared" si="16"/>
        <v/>
      </c>
      <c r="AG163" s="19" cm="1">
        <f t="array" ref="AG163">MAX(IF($C163:$AB163&lt;AC163,$C163:$AB163))</f>
        <v>0.103120759837177</v>
      </c>
      <c r="AH163" s="20" t="str">
        <f t="shared" si="17"/>
        <v>t</v>
      </c>
      <c r="AI163" s="21" t="str">
        <f t="shared" si="18"/>
        <v>nonroeerot</v>
      </c>
      <c r="AJ163" s="22" t="str">
        <f t="shared" si="19"/>
        <v/>
      </c>
    </row>
    <row r="164" spans="1:36" x14ac:dyDescent="0.25">
      <c r="A164" s="2">
        <v>18</v>
      </c>
      <c r="B164" s="2">
        <v>11</v>
      </c>
      <c r="C164" s="2">
        <v>9.7693351424694694E-2</v>
      </c>
      <c r="D164" s="2">
        <v>1.22116689280868E-2</v>
      </c>
      <c r="E164" s="2">
        <v>3.5278154681139699E-2</v>
      </c>
      <c r="F164" s="2">
        <v>1.4925373134328301E-2</v>
      </c>
      <c r="G164" s="2">
        <v>7.5305291723202106E-2</v>
      </c>
      <c r="H164" s="2">
        <v>1.89959294436906E-2</v>
      </c>
      <c r="I164" s="2">
        <v>8.81953867028493E-3</v>
      </c>
      <c r="J164" s="2">
        <v>1.8317503392130199E-2</v>
      </c>
      <c r="K164" s="2">
        <v>0.112618724559023</v>
      </c>
      <c r="L164" s="2">
        <v>0</v>
      </c>
      <c r="M164" s="2">
        <v>0</v>
      </c>
      <c r="N164" s="2">
        <v>5.9023066485752999E-2</v>
      </c>
      <c r="O164" s="2">
        <v>2.64586160108548E-2</v>
      </c>
      <c r="P164" s="2">
        <v>5.8344640434192602E-2</v>
      </c>
      <c r="Q164" s="2">
        <v>0.122116689280868</v>
      </c>
      <c r="R164" s="2">
        <v>2.5780189959294399E-2</v>
      </c>
      <c r="S164" s="2">
        <v>0</v>
      </c>
      <c r="T164" s="2">
        <v>8.8873812754409698E-2</v>
      </c>
      <c r="U164" s="2">
        <v>6.37720488466757E-2</v>
      </c>
      <c r="V164" s="2">
        <v>0.114654002713704</v>
      </c>
      <c r="W164" s="2">
        <v>2.4423337856173601E-2</v>
      </c>
      <c r="X164" s="2">
        <v>6.78426051560379E-3</v>
      </c>
      <c r="Y164" s="2">
        <v>0</v>
      </c>
      <c r="Z164" s="2">
        <v>1.35685210312075E-3</v>
      </c>
      <c r="AA164" s="2">
        <v>1.35685210312075E-2</v>
      </c>
      <c r="AB164" s="2">
        <v>6.78426051560379E-4</v>
      </c>
      <c r="AC164" s="19">
        <f t="shared" si="14"/>
        <v>0.122116689280868</v>
      </c>
      <c r="AD164" s="20" t="str">
        <f t="shared" si="15"/>
        <v>o</v>
      </c>
      <c r="AE164" s="21" t="str">
        <f t="shared" si="20"/>
        <v>pneeroooeio</v>
      </c>
      <c r="AF164" s="22" t="str">
        <f t="shared" si="16"/>
        <v/>
      </c>
      <c r="AG164" s="19" cm="1">
        <f t="array" ref="AG164">MAX(IF($C164:$AB164&lt;AC164,$C164:$AB164))</f>
        <v>0.114654002713704</v>
      </c>
      <c r="AH164" s="20" t="str">
        <f t="shared" si="17"/>
        <v>t</v>
      </c>
      <c r="AI164" s="21" t="str">
        <f t="shared" si="18"/>
        <v>nonroeerott</v>
      </c>
      <c r="AJ164" s="22" t="str">
        <f t="shared" si="19"/>
        <v/>
      </c>
    </row>
    <row r="165" spans="1:36" x14ac:dyDescent="0.25">
      <c r="A165" s="2">
        <v>18</v>
      </c>
      <c r="B165" s="2">
        <v>12</v>
      </c>
      <c r="C165" s="2">
        <v>9.9050203527815406E-2</v>
      </c>
      <c r="D165" s="2">
        <v>4.8168249660786901E-2</v>
      </c>
      <c r="E165" s="2">
        <v>3.79918588873812E-2</v>
      </c>
      <c r="F165" s="2">
        <v>1.35685210312075E-2</v>
      </c>
      <c r="G165" s="2">
        <v>5.1560379918588799E-2</v>
      </c>
      <c r="H165" s="2">
        <v>6.1058344640434097E-3</v>
      </c>
      <c r="I165" s="2">
        <v>2.84938941655359E-2</v>
      </c>
      <c r="J165" s="2">
        <v>2.4423337856173601E-2</v>
      </c>
      <c r="K165" s="2">
        <v>0.181139755766621</v>
      </c>
      <c r="L165" s="2">
        <v>0</v>
      </c>
      <c r="M165" s="2">
        <v>0</v>
      </c>
      <c r="N165" s="2">
        <v>4.6132971506105798E-2</v>
      </c>
      <c r="O165" s="2">
        <v>2.3066485753052899E-2</v>
      </c>
      <c r="P165" s="2">
        <v>5.9701492537313397E-2</v>
      </c>
      <c r="Q165" s="2">
        <v>0.13025780189959199</v>
      </c>
      <c r="R165" s="2">
        <v>3.1886024423337801E-2</v>
      </c>
      <c r="S165" s="2">
        <v>2.7137042062415099E-3</v>
      </c>
      <c r="T165" s="2">
        <v>5.4952510176390697E-2</v>
      </c>
      <c r="U165" s="2">
        <v>2.9850746268656699E-2</v>
      </c>
      <c r="V165" s="2">
        <v>0.101085481682496</v>
      </c>
      <c r="W165" s="2">
        <v>1.42469470827679E-2</v>
      </c>
      <c r="X165" s="2">
        <v>2.7137042062415099E-3</v>
      </c>
      <c r="Y165" s="2">
        <v>6.78426051560379E-4</v>
      </c>
      <c r="Z165" s="2">
        <v>6.78426051560379E-4</v>
      </c>
      <c r="AA165" s="2">
        <v>7.4626865671641703E-3</v>
      </c>
      <c r="AB165" s="2">
        <v>4.0705563093622697E-3</v>
      </c>
      <c r="AC165" s="19">
        <f t="shared" si="14"/>
        <v>0.181139755766621</v>
      </c>
      <c r="AD165" s="20" t="str">
        <f t="shared" si="15"/>
        <v>i</v>
      </c>
      <c r="AE165" s="21" t="str">
        <f t="shared" si="20"/>
        <v>pneeroooeioi</v>
      </c>
      <c r="AF165" s="22" t="str">
        <f t="shared" si="16"/>
        <v/>
      </c>
      <c r="AG165" s="19" cm="1">
        <f t="array" ref="AG165">MAX(IF($C165:$AB165&lt;AC165,$C165:$AB165))</f>
        <v>0.13025780189959199</v>
      </c>
      <c r="AH165" s="20" t="str">
        <f t="shared" si="17"/>
        <v>o</v>
      </c>
      <c r="AI165" s="21" t="str">
        <f t="shared" si="18"/>
        <v>nonroeerotto</v>
      </c>
      <c r="AJ165" s="22" t="str">
        <f t="shared" si="19"/>
        <v/>
      </c>
    </row>
    <row r="166" spans="1:36" x14ac:dyDescent="0.25">
      <c r="A166" s="2">
        <v>18</v>
      </c>
      <c r="B166" s="2">
        <v>13</v>
      </c>
      <c r="C166" s="2">
        <v>7.0556309362279496E-2</v>
      </c>
      <c r="D166" s="2">
        <v>2.5101763907734002E-2</v>
      </c>
      <c r="E166" s="2">
        <v>5.0203527815468101E-2</v>
      </c>
      <c r="F166" s="2">
        <v>7.4626865671641703E-3</v>
      </c>
      <c r="G166" s="2">
        <v>5.4952510176390697E-2</v>
      </c>
      <c r="H166" s="2">
        <v>2.0352781546811301E-3</v>
      </c>
      <c r="I166" s="2">
        <v>2.9850746268656699E-2</v>
      </c>
      <c r="J166" s="2">
        <v>2.7815468113975499E-2</v>
      </c>
      <c r="K166" s="2">
        <v>0.140434192672998</v>
      </c>
      <c r="L166" s="2">
        <v>0</v>
      </c>
      <c r="M166" s="2">
        <v>6.78426051560379E-4</v>
      </c>
      <c r="N166" s="2">
        <v>9.1587516960651205E-2</v>
      </c>
      <c r="O166" s="2">
        <v>2.2388059701492501E-2</v>
      </c>
      <c r="P166" s="2">
        <v>6.5128900949796398E-2</v>
      </c>
      <c r="Q166" s="2">
        <v>7.8018995929443696E-2</v>
      </c>
      <c r="R166" s="2">
        <v>2.84938941655359E-2</v>
      </c>
      <c r="S166" s="2">
        <v>6.78426051560379E-4</v>
      </c>
      <c r="T166" s="2">
        <v>4.9525101763907703E-2</v>
      </c>
      <c r="U166" s="2">
        <v>3.4599728629579302E-2</v>
      </c>
      <c r="V166" s="2">
        <v>7.7340569877883306E-2</v>
      </c>
      <c r="W166" s="2">
        <v>6.6485753052917207E-2</v>
      </c>
      <c r="X166" s="2">
        <v>4.27408412483039E-2</v>
      </c>
      <c r="Y166" s="2">
        <v>0</v>
      </c>
      <c r="Z166" s="2">
        <v>6.78426051560379E-4</v>
      </c>
      <c r="AA166" s="2">
        <v>4.74898236092265E-3</v>
      </c>
      <c r="AB166" s="2">
        <v>2.84938941655359E-2</v>
      </c>
      <c r="AC166" s="19">
        <f t="shared" si="14"/>
        <v>0.140434192672998</v>
      </c>
      <c r="AD166" s="20" t="str">
        <f t="shared" si="15"/>
        <v>i</v>
      </c>
      <c r="AE166" s="21" t="str">
        <f t="shared" si="20"/>
        <v>pneeroooeioii</v>
      </c>
      <c r="AF166" s="22" t="str">
        <f t="shared" si="16"/>
        <v/>
      </c>
      <c r="AG166" s="19" cm="1">
        <f t="array" ref="AG166">MAX(IF($C166:$AB166&lt;AC166,$C166:$AB166))</f>
        <v>9.1587516960651205E-2</v>
      </c>
      <c r="AH166" s="20" t="str">
        <f t="shared" si="17"/>
        <v>l</v>
      </c>
      <c r="AI166" s="21" t="str">
        <f t="shared" si="18"/>
        <v>nonroeerottol</v>
      </c>
      <c r="AJ166" s="22" t="str">
        <f t="shared" si="19"/>
        <v/>
      </c>
    </row>
    <row r="167" spans="1:36" x14ac:dyDescent="0.25">
      <c r="A167" s="2">
        <v>18</v>
      </c>
      <c r="B167" s="2">
        <v>14</v>
      </c>
      <c r="C167" s="2">
        <v>0.15535956580732699</v>
      </c>
      <c r="D167" s="2">
        <v>4.0705563093622697E-3</v>
      </c>
      <c r="E167" s="2">
        <v>0.12075983717774701</v>
      </c>
      <c r="F167" s="2">
        <v>1.8317503392130199E-2</v>
      </c>
      <c r="G167" s="2">
        <v>0.13839891451831701</v>
      </c>
      <c r="H167" s="2">
        <v>0</v>
      </c>
      <c r="I167" s="2">
        <v>4.4776119402985003E-2</v>
      </c>
      <c r="J167" s="2">
        <v>2.84938941655359E-2</v>
      </c>
      <c r="K167" s="2">
        <v>0.13229308005427401</v>
      </c>
      <c r="L167" s="2">
        <v>0</v>
      </c>
      <c r="M167" s="2">
        <v>0</v>
      </c>
      <c r="N167" s="2">
        <v>4.6811397557666203E-2</v>
      </c>
      <c r="O167" s="2">
        <v>2.17096336499321E-2</v>
      </c>
      <c r="P167" s="2">
        <v>3.1886024423337801E-2</v>
      </c>
      <c r="Q167" s="2">
        <v>5.9701492537313397E-2</v>
      </c>
      <c r="R167" s="2">
        <v>1.35685210312075E-2</v>
      </c>
      <c r="S167" s="2">
        <v>0</v>
      </c>
      <c r="T167" s="2">
        <v>3.5278154681139699E-2</v>
      </c>
      <c r="U167" s="2">
        <v>7.1913161465400194E-2</v>
      </c>
      <c r="V167" s="2">
        <v>5.8344640434192602E-2</v>
      </c>
      <c r="W167" s="2">
        <v>1.42469470827679E-2</v>
      </c>
      <c r="X167" s="2">
        <v>0</v>
      </c>
      <c r="Y167" s="2">
        <v>0</v>
      </c>
      <c r="Z167" s="2">
        <v>0</v>
      </c>
      <c r="AA167" s="2">
        <v>4.0705563093622697E-3</v>
      </c>
      <c r="AB167" s="2">
        <v>0</v>
      </c>
      <c r="AC167" s="19">
        <f t="shared" si="14"/>
        <v>0.15535956580732699</v>
      </c>
      <c r="AD167" s="20" t="str">
        <f t="shared" si="15"/>
        <v>a</v>
      </c>
      <c r="AE167" s="21" t="str">
        <f t="shared" si="20"/>
        <v>pneeroooeioiia</v>
      </c>
      <c r="AF167" s="22" t="str">
        <f t="shared" si="16"/>
        <v/>
      </c>
      <c r="AG167" s="19" cm="1">
        <f t="array" ref="AG167">MAX(IF($C167:$AB167&lt;AC167,$C167:$AB167))</f>
        <v>0.13839891451831701</v>
      </c>
      <c r="AH167" s="20" t="str">
        <f t="shared" si="17"/>
        <v>e</v>
      </c>
      <c r="AI167" s="21" t="str">
        <f t="shared" si="18"/>
        <v>nonroeerottole</v>
      </c>
      <c r="AJ167" s="22" t="str">
        <f t="shared" si="19"/>
        <v/>
      </c>
    </row>
    <row r="168" spans="1:36" x14ac:dyDescent="0.25">
      <c r="A168" s="2">
        <v>18</v>
      </c>
      <c r="B168" s="2">
        <v>15</v>
      </c>
      <c r="C168" s="2">
        <v>0.15739484396200801</v>
      </c>
      <c r="D168" s="2">
        <v>6.78426051560379E-4</v>
      </c>
      <c r="E168" s="2">
        <v>1.69606512890094E-2</v>
      </c>
      <c r="F168" s="2">
        <v>1.28900949796472E-2</v>
      </c>
      <c r="G168" s="2">
        <v>4.3419267299864298E-2</v>
      </c>
      <c r="H168" s="2">
        <v>0</v>
      </c>
      <c r="I168" s="2">
        <v>1.6282225237449099E-2</v>
      </c>
      <c r="J168" s="2">
        <v>1.35685210312075E-2</v>
      </c>
      <c r="K168" s="2">
        <v>0.102442333785617</v>
      </c>
      <c r="L168" s="2">
        <v>0</v>
      </c>
      <c r="M168" s="2">
        <v>0</v>
      </c>
      <c r="N168" s="2">
        <v>6.1058344640434102E-2</v>
      </c>
      <c r="O168" s="2">
        <v>1.56037991858887E-2</v>
      </c>
      <c r="P168" s="2">
        <v>0.226594301221166</v>
      </c>
      <c r="Q168" s="2">
        <v>4.00271370420624E-2</v>
      </c>
      <c r="R168" s="2">
        <v>1.56037991858887E-2</v>
      </c>
      <c r="S168" s="2">
        <v>0</v>
      </c>
      <c r="T168" s="2">
        <v>3.5278154681139699E-2</v>
      </c>
      <c r="U168" s="2">
        <v>3.1886024423337801E-2</v>
      </c>
      <c r="V168" s="2">
        <v>0.16078697421981</v>
      </c>
      <c r="W168" s="2">
        <v>1.69606512890094E-2</v>
      </c>
      <c r="X168" s="2">
        <v>1.9674355495251001E-2</v>
      </c>
      <c r="Y168" s="2">
        <v>6.78426051560379E-4</v>
      </c>
      <c r="Z168" s="2">
        <v>6.78426051560379E-4</v>
      </c>
      <c r="AA168" s="2">
        <v>1.35685210312075E-3</v>
      </c>
      <c r="AB168" s="2">
        <v>1.0176390773405699E-2</v>
      </c>
      <c r="AC168" s="19">
        <f t="shared" si="14"/>
        <v>0.226594301221166</v>
      </c>
      <c r="AD168" s="20" t="str">
        <f t="shared" si="15"/>
        <v>n</v>
      </c>
      <c r="AE168" s="21" t="str">
        <f t="shared" si="20"/>
        <v>pneeroooeioiian</v>
      </c>
      <c r="AF168" s="22" t="str">
        <f t="shared" si="16"/>
        <v/>
      </c>
      <c r="AG168" s="19" cm="1">
        <f t="array" ref="AG168">MAX(IF($C168:$AB168&lt;AC168,$C168:$AB168))</f>
        <v>0.16078697421981</v>
      </c>
      <c r="AH168" s="20" t="str">
        <f t="shared" si="17"/>
        <v>t</v>
      </c>
      <c r="AI168" s="21" t="str">
        <f t="shared" si="18"/>
        <v>nonroeerottolet</v>
      </c>
      <c r="AJ168" s="22" t="str">
        <f t="shared" si="19"/>
        <v/>
      </c>
    </row>
    <row r="169" spans="1:36" x14ac:dyDescent="0.25">
      <c r="A169" s="2">
        <v>18</v>
      </c>
      <c r="B169" s="2">
        <v>16</v>
      </c>
      <c r="C169" s="2">
        <v>4.00271370420624E-2</v>
      </c>
      <c r="D169" s="2">
        <v>1.35685210312075E-2</v>
      </c>
      <c r="E169" s="2">
        <v>5.0881953867028401E-2</v>
      </c>
      <c r="F169" s="2">
        <v>2.7137042062415099E-3</v>
      </c>
      <c r="G169" s="2">
        <v>0.22252374491180399</v>
      </c>
      <c r="H169" s="2">
        <v>0</v>
      </c>
      <c r="I169" s="2">
        <v>1.22116689280868E-2</v>
      </c>
      <c r="J169" s="2">
        <v>1.8317503392130199E-2</v>
      </c>
      <c r="K169" s="2">
        <v>0.24762550881953799</v>
      </c>
      <c r="L169" s="2">
        <v>0</v>
      </c>
      <c r="M169" s="2">
        <v>0</v>
      </c>
      <c r="N169" s="2">
        <v>0.12550881953866999</v>
      </c>
      <c r="O169" s="2">
        <v>6.1058344640434097E-3</v>
      </c>
      <c r="P169" s="2">
        <v>2.3744911804613199E-2</v>
      </c>
      <c r="Q169" s="2">
        <v>8.4124830393487102E-2</v>
      </c>
      <c r="R169" s="2">
        <v>1.8317503392130199E-2</v>
      </c>
      <c r="S169" s="2">
        <v>0</v>
      </c>
      <c r="T169" s="2">
        <v>2.0352781546811399E-2</v>
      </c>
      <c r="U169" s="2">
        <v>4.4776119402985003E-2</v>
      </c>
      <c r="V169" s="2">
        <v>5.6987788331071897E-2</v>
      </c>
      <c r="W169" s="2">
        <v>1.35685210312075E-3</v>
      </c>
      <c r="X169" s="2">
        <v>2.0352781546811301E-3</v>
      </c>
      <c r="Y169" s="2">
        <v>0</v>
      </c>
      <c r="Z169" s="2">
        <v>1.35685210312075E-3</v>
      </c>
      <c r="AA169" s="2">
        <v>6.78426051560379E-4</v>
      </c>
      <c r="AB169" s="2">
        <v>6.78426051560379E-3</v>
      </c>
      <c r="AC169" s="19">
        <f t="shared" si="14"/>
        <v>0.24762550881953799</v>
      </c>
      <c r="AD169" s="20" t="str">
        <f t="shared" si="15"/>
        <v>i</v>
      </c>
      <c r="AE169" s="21" t="str">
        <f t="shared" si="20"/>
        <v>pneeroooeioiiani</v>
      </c>
      <c r="AF169" s="22" t="str">
        <f t="shared" si="16"/>
        <v/>
      </c>
      <c r="AG169" s="19" cm="1">
        <f t="array" ref="AG169">MAX(IF($C169:$AB169&lt;AC169,$C169:$AB169))</f>
        <v>0.22252374491180399</v>
      </c>
      <c r="AH169" s="20" t="str">
        <f t="shared" si="17"/>
        <v>e</v>
      </c>
      <c r="AI169" s="21" t="str">
        <f t="shared" si="18"/>
        <v>nonroeerottolete</v>
      </c>
      <c r="AJ169" s="22" t="str">
        <f t="shared" si="19"/>
        <v/>
      </c>
    </row>
    <row r="170" spans="1:36" x14ac:dyDescent="0.25">
      <c r="A170" s="2">
        <v>18</v>
      </c>
      <c r="B170" s="2">
        <v>17</v>
      </c>
      <c r="C170" s="2">
        <v>9.0230664857530493E-2</v>
      </c>
      <c r="D170" s="2">
        <v>0</v>
      </c>
      <c r="E170" s="2">
        <v>1.6282225237449099E-2</v>
      </c>
      <c r="F170" s="2">
        <v>4.0705563093622697E-3</v>
      </c>
      <c r="G170" s="2">
        <v>5.9023066485752999E-2</v>
      </c>
      <c r="H170" s="2">
        <v>0</v>
      </c>
      <c r="I170" s="2">
        <v>6.78426051560379E-3</v>
      </c>
      <c r="J170" s="2">
        <v>1.1533242876526399E-2</v>
      </c>
      <c r="K170" s="2">
        <v>0.109905020352781</v>
      </c>
      <c r="L170" s="2">
        <v>0</v>
      </c>
      <c r="M170" s="2">
        <v>0</v>
      </c>
      <c r="N170" s="2">
        <v>0.168928086838534</v>
      </c>
      <c r="O170" s="2">
        <v>2.1031207598371699E-2</v>
      </c>
      <c r="P170" s="2">
        <v>6.17367706919945E-2</v>
      </c>
      <c r="Q170" s="2">
        <v>9.8371777476255001E-2</v>
      </c>
      <c r="R170" s="2">
        <v>1.1533242876526399E-2</v>
      </c>
      <c r="S170" s="2">
        <v>0</v>
      </c>
      <c r="T170" s="2">
        <v>1.22116689280868E-2</v>
      </c>
      <c r="U170" s="2">
        <v>0.227951153324287</v>
      </c>
      <c r="V170" s="2">
        <v>5.5630936227951101E-2</v>
      </c>
      <c r="W170" s="2">
        <v>3.3921302578018897E-2</v>
      </c>
      <c r="X170" s="2">
        <v>8.1411126187245497E-3</v>
      </c>
      <c r="Y170" s="2">
        <v>0</v>
      </c>
      <c r="Z170" s="2">
        <v>0</v>
      </c>
      <c r="AA170" s="2">
        <v>0</v>
      </c>
      <c r="AB170" s="2">
        <v>2.7137042062415099E-3</v>
      </c>
      <c r="AC170" s="19">
        <f t="shared" si="14"/>
        <v>0.227951153324287</v>
      </c>
      <c r="AD170" s="20" t="str">
        <f t="shared" si="15"/>
        <v>s</v>
      </c>
      <c r="AE170" s="21" t="str">
        <f t="shared" si="20"/>
        <v>pneeroooeioiianis</v>
      </c>
      <c r="AF170" s="22" t="str">
        <f t="shared" si="16"/>
        <v/>
      </c>
      <c r="AG170" s="19" cm="1">
        <f t="array" ref="AG170">MAX(IF($C170:$AB170&lt;AC170,$C170:$AB170))</f>
        <v>0.168928086838534</v>
      </c>
      <c r="AH170" s="20" t="str">
        <f t="shared" si="17"/>
        <v>l</v>
      </c>
      <c r="AI170" s="21" t="str">
        <f t="shared" si="18"/>
        <v>nonroeerottoletel</v>
      </c>
      <c r="AJ170" s="22" t="str">
        <f t="shared" si="19"/>
        <v/>
      </c>
    </row>
    <row r="171" spans="1:36" x14ac:dyDescent="0.25">
      <c r="A171" s="2">
        <v>18</v>
      </c>
      <c r="B171" s="2">
        <v>18</v>
      </c>
      <c r="C171" s="2">
        <v>1.89959294436906E-2</v>
      </c>
      <c r="D171" s="2">
        <v>0</v>
      </c>
      <c r="E171" s="2">
        <v>5.9023066485752999E-2</v>
      </c>
      <c r="F171" s="2">
        <v>1.0854816824966E-2</v>
      </c>
      <c r="G171" s="2">
        <v>7.1913161465400194E-2</v>
      </c>
      <c r="H171" s="2">
        <v>0</v>
      </c>
      <c r="I171" s="2">
        <v>1.7639077340569801E-2</v>
      </c>
      <c r="J171" s="2">
        <v>6.78426051560379E-3</v>
      </c>
      <c r="K171" s="2">
        <v>0</v>
      </c>
      <c r="L171" s="2">
        <v>0</v>
      </c>
      <c r="M171" s="2">
        <v>0</v>
      </c>
      <c r="N171" s="2">
        <v>7.6662143826322901E-2</v>
      </c>
      <c r="O171" s="2">
        <v>1.9674355495251001E-2</v>
      </c>
      <c r="P171" s="2">
        <v>0.10583446404341899</v>
      </c>
      <c r="Q171" s="2">
        <v>0</v>
      </c>
      <c r="R171" s="2">
        <v>2.7137042062415099E-3</v>
      </c>
      <c r="S171" s="2">
        <v>0</v>
      </c>
      <c r="T171" s="2">
        <v>2.0352781546811399E-2</v>
      </c>
      <c r="U171" s="2">
        <v>0.30664857530529099</v>
      </c>
      <c r="V171" s="2">
        <v>3.7313432835820802E-2</v>
      </c>
      <c r="W171" s="2">
        <v>0</v>
      </c>
      <c r="X171" s="2">
        <v>0</v>
      </c>
      <c r="Y171" s="2">
        <v>0</v>
      </c>
      <c r="Z171" s="2">
        <v>0</v>
      </c>
      <c r="AA171" s="2">
        <v>0.245590230664857</v>
      </c>
      <c r="AB171" s="2">
        <v>0</v>
      </c>
      <c r="AC171" s="19">
        <f t="shared" si="14"/>
        <v>0.30664857530529099</v>
      </c>
      <c r="AD171" s="20" t="str">
        <f t="shared" si="15"/>
        <v>s</v>
      </c>
      <c r="AE171" s="21" t="str">
        <f t="shared" si="20"/>
        <v>pneeroooeioiianiss</v>
      </c>
      <c r="AF171" s="22" t="str">
        <f t="shared" si="16"/>
        <v>pneeroooeioiianiss</v>
      </c>
      <c r="AG171" s="19" cm="1">
        <f t="array" ref="AG171">MAX(IF($C171:$AB171&lt;AC171,$C171:$AB171))</f>
        <v>0.245590230664857</v>
      </c>
      <c r="AH171" s="20" t="str">
        <f t="shared" si="17"/>
        <v>y</v>
      </c>
      <c r="AI171" s="21" t="str">
        <f t="shared" si="18"/>
        <v>nonroeerottoletely</v>
      </c>
      <c r="AJ171" s="22" t="str">
        <f t="shared" si="19"/>
        <v>nonroeerottoletely</v>
      </c>
    </row>
    <row r="172" spans="1:36" x14ac:dyDescent="0.25">
      <c r="A172" s="2">
        <v>19</v>
      </c>
      <c r="B172" s="2">
        <v>1</v>
      </c>
      <c r="C172" s="2">
        <v>7.1240105540897103E-2</v>
      </c>
      <c r="D172" s="2">
        <v>2.24274406332453E-2</v>
      </c>
      <c r="E172" s="2">
        <v>8.1794195250659604E-2</v>
      </c>
      <c r="F172" s="2">
        <v>3.5620052770448503E-2</v>
      </c>
      <c r="G172" s="2">
        <v>5.8047493403693903E-2</v>
      </c>
      <c r="H172" s="2">
        <v>2.6385224274406301E-3</v>
      </c>
      <c r="I172" s="2">
        <v>1.45118733509234E-2</v>
      </c>
      <c r="J172" s="2">
        <v>6.2005277044854798E-2</v>
      </c>
      <c r="K172" s="2">
        <v>5.2770448548812597E-2</v>
      </c>
      <c r="L172" s="2">
        <v>0</v>
      </c>
      <c r="M172" s="2">
        <v>1.3192612137203101E-3</v>
      </c>
      <c r="N172" s="2">
        <v>9.2348284960422095E-3</v>
      </c>
      <c r="O172" s="2">
        <v>3.8258575197889097E-2</v>
      </c>
      <c r="P172" s="2">
        <v>0.10949868073878601</v>
      </c>
      <c r="Q172" s="2">
        <v>6.3324538258575203E-2</v>
      </c>
      <c r="R172" s="2">
        <v>0.14643799472295499</v>
      </c>
      <c r="S172" s="2">
        <v>1.3192612137203101E-3</v>
      </c>
      <c r="T172" s="2">
        <v>1.18733509234828E-2</v>
      </c>
      <c r="U172" s="2">
        <v>9.8944591029023699E-2</v>
      </c>
      <c r="V172" s="2">
        <v>2.6385224274406299E-2</v>
      </c>
      <c r="W172" s="2">
        <v>8.5751978891820499E-2</v>
      </c>
      <c r="X172" s="2">
        <v>2.6385224274406301E-3</v>
      </c>
      <c r="Y172" s="2">
        <v>1.3192612137203101E-3</v>
      </c>
      <c r="Z172" s="2">
        <v>0</v>
      </c>
      <c r="AA172" s="2">
        <v>0</v>
      </c>
      <c r="AB172" s="2">
        <v>2.6385224274406301E-3</v>
      </c>
      <c r="AC172" s="19">
        <f t="shared" si="14"/>
        <v>0.14643799472295499</v>
      </c>
      <c r="AD172" s="20" t="str">
        <f t="shared" si="15"/>
        <v>p</v>
      </c>
      <c r="AE172" s="21" t="str">
        <f t="shared" si="20"/>
        <v>p</v>
      </c>
      <c r="AF172" s="22" t="str">
        <f t="shared" si="16"/>
        <v/>
      </c>
      <c r="AG172" s="19" cm="1">
        <f t="array" ref="AG172">MAX(IF($C172:$AB172&lt;AC172,$C172:$AB172))</f>
        <v>0.10949868073878601</v>
      </c>
      <c r="AH172" s="20" t="str">
        <f t="shared" si="17"/>
        <v>n</v>
      </c>
      <c r="AI172" s="21" t="str">
        <f t="shared" si="18"/>
        <v>n</v>
      </c>
      <c r="AJ172" s="22" t="str">
        <f t="shared" si="19"/>
        <v/>
      </c>
    </row>
    <row r="173" spans="1:36" x14ac:dyDescent="0.25">
      <c r="A173" s="2">
        <v>19</v>
      </c>
      <c r="B173" s="2">
        <v>2</v>
      </c>
      <c r="C173" s="2">
        <v>8.3113456464379898E-2</v>
      </c>
      <c r="D173" s="2">
        <v>1.3192612137203101E-3</v>
      </c>
      <c r="E173" s="2">
        <v>7.9155672823219003E-3</v>
      </c>
      <c r="F173" s="2">
        <v>5.2770448548812602E-3</v>
      </c>
      <c r="G173" s="2">
        <v>9.1029023746701798E-2</v>
      </c>
      <c r="H173" s="2">
        <v>0</v>
      </c>
      <c r="I173" s="2">
        <v>0</v>
      </c>
      <c r="J173" s="2">
        <v>7.5197889182057998E-2</v>
      </c>
      <c r="K173" s="2">
        <v>5.1451187335092297E-2</v>
      </c>
      <c r="L173" s="2">
        <v>0</v>
      </c>
      <c r="M173" s="2">
        <v>0</v>
      </c>
      <c r="N173" s="2">
        <v>6.4643799472295496E-2</v>
      </c>
      <c r="O173" s="2">
        <v>6.5963060686015798E-3</v>
      </c>
      <c r="P173" s="2">
        <v>0.16358839050131899</v>
      </c>
      <c r="Q173" s="2">
        <v>0.151715039577836</v>
      </c>
      <c r="R173" s="2">
        <v>1.3192612137203101E-2</v>
      </c>
      <c r="S173" s="2">
        <v>2.6385224274406301E-3</v>
      </c>
      <c r="T173" s="2">
        <v>4.3535620052770403E-2</v>
      </c>
      <c r="U173" s="2">
        <v>4.4854881266490697E-2</v>
      </c>
      <c r="V173" s="2">
        <v>1.5831134564643801E-2</v>
      </c>
      <c r="W173" s="2">
        <v>6.0686015831134497E-2</v>
      </c>
      <c r="X173" s="2">
        <v>4.4854881266490697E-2</v>
      </c>
      <c r="Y173" s="2">
        <v>0</v>
      </c>
      <c r="Z173" s="2">
        <v>5.2770448548812602E-3</v>
      </c>
      <c r="AA173" s="2">
        <v>6.5963060686015804E-2</v>
      </c>
      <c r="AB173" s="2">
        <v>1.3192612137203101E-3</v>
      </c>
      <c r="AC173" s="19">
        <f t="shared" si="14"/>
        <v>0.16358839050131899</v>
      </c>
      <c r="AD173" s="20" t="str">
        <f t="shared" si="15"/>
        <v>n</v>
      </c>
      <c r="AE173" s="21" t="str">
        <f t="shared" si="20"/>
        <v>pn</v>
      </c>
      <c r="AF173" s="22" t="str">
        <f t="shared" si="16"/>
        <v/>
      </c>
      <c r="AG173" s="19" cm="1">
        <f t="array" ref="AG173">MAX(IF($C173:$AB173&lt;AC173,$C173:$AB173))</f>
        <v>0.151715039577836</v>
      </c>
      <c r="AH173" s="20" t="str">
        <f t="shared" si="17"/>
        <v>o</v>
      </c>
      <c r="AI173" s="21" t="str">
        <f t="shared" si="18"/>
        <v>no</v>
      </c>
      <c r="AJ173" s="22" t="str">
        <f t="shared" si="19"/>
        <v/>
      </c>
    </row>
    <row r="174" spans="1:36" x14ac:dyDescent="0.25">
      <c r="A174" s="2">
        <v>19</v>
      </c>
      <c r="B174" s="2">
        <v>3</v>
      </c>
      <c r="C174" s="2">
        <v>3.9577836411609502E-2</v>
      </c>
      <c r="D174" s="2">
        <v>7.9155672823219003E-3</v>
      </c>
      <c r="E174" s="2">
        <v>6.5963060686015804E-2</v>
      </c>
      <c r="F174" s="2">
        <v>2.5065963060686001E-2</v>
      </c>
      <c r="G174" s="2">
        <v>0.154353562005277</v>
      </c>
      <c r="H174" s="2">
        <v>1.3192612137203101E-3</v>
      </c>
      <c r="I174" s="2">
        <v>9.2348284960422095E-3</v>
      </c>
      <c r="J174" s="2">
        <v>2.1108179419524999E-2</v>
      </c>
      <c r="K174" s="2">
        <v>1.8469656992084402E-2</v>
      </c>
      <c r="L174" s="2">
        <v>0</v>
      </c>
      <c r="M174" s="2">
        <v>0</v>
      </c>
      <c r="N174" s="2">
        <v>3.9577836411609502E-2</v>
      </c>
      <c r="O174" s="2">
        <v>3.6939313984168803E-2</v>
      </c>
      <c r="P174" s="2">
        <v>0.14379947229551401</v>
      </c>
      <c r="Q174" s="2">
        <v>5.9366754617414197E-2</v>
      </c>
      <c r="R174" s="2">
        <v>9.8944591029023699E-2</v>
      </c>
      <c r="S174" s="2">
        <v>0</v>
      </c>
      <c r="T174" s="2">
        <v>5.0131926121372003E-2</v>
      </c>
      <c r="U174" s="2">
        <v>4.7493403693931298E-2</v>
      </c>
      <c r="V174" s="2">
        <v>0.122691292875989</v>
      </c>
      <c r="W174" s="2">
        <v>3.1662269129287601E-2</v>
      </c>
      <c r="X174" s="2">
        <v>0</v>
      </c>
      <c r="Y174" s="2">
        <v>0</v>
      </c>
      <c r="Z174" s="2">
        <v>1.3192612137203101E-3</v>
      </c>
      <c r="AA174" s="2">
        <v>2.5065963060686001E-2</v>
      </c>
      <c r="AB174" s="2">
        <v>0</v>
      </c>
      <c r="AC174" s="19">
        <f t="shared" si="14"/>
        <v>0.154353562005277</v>
      </c>
      <c r="AD174" s="20" t="str">
        <f t="shared" si="15"/>
        <v>e</v>
      </c>
      <c r="AE174" s="21" t="str">
        <f t="shared" si="20"/>
        <v>pne</v>
      </c>
      <c r="AF174" s="22" t="str">
        <f t="shared" si="16"/>
        <v/>
      </c>
      <c r="AG174" s="19" cm="1">
        <f t="array" ref="AG174">MAX(IF($C174:$AB174&lt;AC174,$C174:$AB174))</f>
        <v>0.14379947229551401</v>
      </c>
      <c r="AH174" s="20" t="str">
        <f t="shared" si="17"/>
        <v>n</v>
      </c>
      <c r="AI174" s="21" t="str">
        <f t="shared" si="18"/>
        <v>non</v>
      </c>
      <c r="AJ174" s="22" t="str">
        <f t="shared" si="19"/>
        <v/>
      </c>
    </row>
    <row r="175" spans="1:36" x14ac:dyDescent="0.25">
      <c r="A175" s="2">
        <v>19</v>
      </c>
      <c r="B175" s="2">
        <v>4</v>
      </c>
      <c r="C175" s="2">
        <v>6.4643799472295496E-2</v>
      </c>
      <c r="D175" s="2">
        <v>5.2770448548812602E-3</v>
      </c>
      <c r="E175" s="2">
        <v>9.3667546174142399E-2</v>
      </c>
      <c r="F175" s="2">
        <v>1.8469656992084402E-2</v>
      </c>
      <c r="G175" s="2">
        <v>0.14907651715039499</v>
      </c>
      <c r="H175" s="2">
        <v>5.2770448548812602E-3</v>
      </c>
      <c r="I175" s="2">
        <v>3.9577836411609502E-3</v>
      </c>
      <c r="J175" s="2">
        <v>3.2981530343007902E-2</v>
      </c>
      <c r="K175" s="2">
        <v>0.10949868073878601</v>
      </c>
      <c r="L175" s="2">
        <v>1.3192612137203101E-3</v>
      </c>
      <c r="M175" s="2">
        <v>0</v>
      </c>
      <c r="N175" s="2">
        <v>1.18733509234828E-2</v>
      </c>
      <c r="O175" s="2">
        <v>1.8469656992084402E-2</v>
      </c>
      <c r="P175" s="2">
        <v>6.2005277044854798E-2</v>
      </c>
      <c r="Q175" s="2">
        <v>7.5197889182057998E-2</v>
      </c>
      <c r="R175" s="2">
        <v>3.1662269129287601E-2</v>
      </c>
      <c r="S175" s="2">
        <v>1.3192612137203101E-3</v>
      </c>
      <c r="T175" s="2">
        <v>0.13852242744063301</v>
      </c>
      <c r="U175" s="2">
        <v>3.4300791556728202E-2</v>
      </c>
      <c r="V175" s="2">
        <v>8.0474934036939297E-2</v>
      </c>
      <c r="W175" s="2">
        <v>3.9577836411609502E-2</v>
      </c>
      <c r="X175" s="2">
        <v>3.9577836411609502E-3</v>
      </c>
      <c r="Y175" s="2">
        <v>0</v>
      </c>
      <c r="Z175" s="2">
        <v>5.2770448548812602E-3</v>
      </c>
      <c r="AA175" s="2">
        <v>7.9155672823219003E-3</v>
      </c>
      <c r="AB175" s="2">
        <v>5.2770448548812602E-3</v>
      </c>
      <c r="AC175" s="19">
        <f t="shared" si="14"/>
        <v>0.14907651715039499</v>
      </c>
      <c r="AD175" s="20" t="str">
        <f t="shared" si="15"/>
        <v>e</v>
      </c>
      <c r="AE175" s="21" t="str">
        <f t="shared" si="20"/>
        <v>pnee</v>
      </c>
      <c r="AF175" s="22" t="str">
        <f t="shared" si="16"/>
        <v/>
      </c>
      <c r="AG175" s="19" cm="1">
        <f t="array" ref="AG175">MAX(IF($C175:$AB175&lt;AC175,$C175:$AB175))</f>
        <v>0.13852242744063301</v>
      </c>
      <c r="AH175" s="20" t="str">
        <f t="shared" si="17"/>
        <v>r</v>
      </c>
      <c r="AI175" s="21" t="str">
        <f t="shared" si="18"/>
        <v>nonr</v>
      </c>
      <c r="AJ175" s="22" t="str">
        <f t="shared" si="19"/>
        <v/>
      </c>
    </row>
    <row r="176" spans="1:36" x14ac:dyDescent="0.25">
      <c r="A176" s="2">
        <v>19</v>
      </c>
      <c r="B176" s="2">
        <v>5</v>
      </c>
      <c r="C176" s="2">
        <v>6.2005277044854798E-2</v>
      </c>
      <c r="D176" s="2">
        <v>5.2770448548812602E-3</v>
      </c>
      <c r="E176" s="2">
        <v>5.6728232189973603E-2</v>
      </c>
      <c r="F176" s="2">
        <v>5.9366754617414197E-2</v>
      </c>
      <c r="G176" s="2">
        <v>7.1240105540897103E-2</v>
      </c>
      <c r="H176" s="2">
        <v>1.3192612137203101E-3</v>
      </c>
      <c r="I176" s="2">
        <v>7.9155672823219003E-3</v>
      </c>
      <c r="J176" s="2">
        <v>4.0897097625329802E-2</v>
      </c>
      <c r="K176" s="2">
        <v>7.2559366754617396E-2</v>
      </c>
      <c r="L176" s="2">
        <v>1.3192612137203101E-3</v>
      </c>
      <c r="M176" s="2">
        <v>0</v>
      </c>
      <c r="N176" s="2">
        <v>1.3192612137203101E-2</v>
      </c>
      <c r="O176" s="2">
        <v>4.3535620052770403E-2</v>
      </c>
      <c r="P176" s="2">
        <v>6.2005277044854798E-2</v>
      </c>
      <c r="Q176" s="2">
        <v>0.13060686015831099</v>
      </c>
      <c r="R176" s="2">
        <v>4.8812664907651702E-2</v>
      </c>
      <c r="S176" s="2">
        <v>0</v>
      </c>
      <c r="T176" s="2">
        <v>0.14248021108179401</v>
      </c>
      <c r="U176" s="2">
        <v>4.3535620052770403E-2</v>
      </c>
      <c r="V176" s="2">
        <v>0.104221635883905</v>
      </c>
      <c r="W176" s="2">
        <v>1.7150395778364101E-2</v>
      </c>
      <c r="X176" s="2">
        <v>2.6385224274406301E-3</v>
      </c>
      <c r="Y176" s="2">
        <v>0</v>
      </c>
      <c r="Z176" s="2">
        <v>1.3192612137203101E-3</v>
      </c>
      <c r="AA176" s="2">
        <v>1.18733509234828E-2</v>
      </c>
      <c r="AB176" s="2">
        <v>0</v>
      </c>
      <c r="AC176" s="19">
        <f t="shared" si="14"/>
        <v>0.14248021108179401</v>
      </c>
      <c r="AD176" s="20" t="str">
        <f t="shared" si="15"/>
        <v>r</v>
      </c>
      <c r="AE176" s="21" t="str">
        <f t="shared" si="20"/>
        <v>pneer</v>
      </c>
      <c r="AF176" s="22" t="str">
        <f t="shared" si="16"/>
        <v/>
      </c>
      <c r="AG176" s="19" cm="1">
        <f t="array" ref="AG176">MAX(IF($C176:$AB176&lt;AC176,$C176:$AB176))</f>
        <v>0.13060686015831099</v>
      </c>
      <c r="AH176" s="20" t="str">
        <f t="shared" si="17"/>
        <v>o</v>
      </c>
      <c r="AI176" s="21" t="str">
        <f t="shared" si="18"/>
        <v>nonro</v>
      </c>
      <c r="AJ176" s="22" t="str">
        <f t="shared" si="19"/>
        <v/>
      </c>
    </row>
    <row r="177" spans="1:36" x14ac:dyDescent="0.25">
      <c r="A177" s="2">
        <v>19</v>
      </c>
      <c r="B177" s="2">
        <v>6</v>
      </c>
      <c r="C177" s="2">
        <v>7.5197889182057998E-2</v>
      </c>
      <c r="D177" s="2">
        <v>1.5831134564643801E-2</v>
      </c>
      <c r="E177" s="2">
        <v>7.7836411609498599E-2</v>
      </c>
      <c r="F177" s="2">
        <v>3.03430079155672E-2</v>
      </c>
      <c r="G177" s="2">
        <v>6.0686015831134497E-2</v>
      </c>
      <c r="H177" s="2">
        <v>1.05540897097625E-2</v>
      </c>
      <c r="I177" s="2">
        <v>1.7150395778364101E-2</v>
      </c>
      <c r="J177" s="2">
        <v>4.0897097625329802E-2</v>
      </c>
      <c r="K177" s="2">
        <v>4.2216358839050103E-2</v>
      </c>
      <c r="L177" s="2">
        <v>2.6385224274406301E-3</v>
      </c>
      <c r="M177" s="2">
        <v>1.3192612137203101E-3</v>
      </c>
      <c r="N177" s="2">
        <v>3.5620052770448503E-2</v>
      </c>
      <c r="O177" s="2">
        <v>5.2770448548812597E-2</v>
      </c>
      <c r="P177" s="2">
        <v>5.6728232189973603E-2</v>
      </c>
      <c r="Q177" s="2">
        <v>0.155672823218997</v>
      </c>
      <c r="R177" s="2">
        <v>6.3324538258575203E-2</v>
      </c>
      <c r="S177" s="2">
        <v>1.3192612137203101E-3</v>
      </c>
      <c r="T177" s="2">
        <v>0.106860158311345</v>
      </c>
      <c r="U177" s="2">
        <v>5.9366754617414197E-2</v>
      </c>
      <c r="V177" s="2">
        <v>4.8812664907651702E-2</v>
      </c>
      <c r="W177" s="2">
        <v>1.9788918205804699E-2</v>
      </c>
      <c r="X177" s="2">
        <v>7.9155672823219003E-3</v>
      </c>
      <c r="Y177" s="2">
        <v>0</v>
      </c>
      <c r="Z177" s="2">
        <v>5.2770448548812602E-3</v>
      </c>
      <c r="AA177" s="2">
        <v>1.18733509234828E-2</v>
      </c>
      <c r="AB177" s="2">
        <v>0</v>
      </c>
      <c r="AC177" s="19">
        <f t="shared" si="14"/>
        <v>0.155672823218997</v>
      </c>
      <c r="AD177" s="20" t="str">
        <f t="shared" si="15"/>
        <v>o</v>
      </c>
      <c r="AE177" s="21" t="str">
        <f t="shared" si="20"/>
        <v>pneero</v>
      </c>
      <c r="AF177" s="22" t="str">
        <f t="shared" si="16"/>
        <v/>
      </c>
      <c r="AG177" s="19" cm="1">
        <f t="array" ref="AG177">MAX(IF($C177:$AB177&lt;AC177,$C177:$AB177))</f>
        <v>0.106860158311345</v>
      </c>
      <c r="AH177" s="20" t="str">
        <f t="shared" si="17"/>
        <v>r</v>
      </c>
      <c r="AI177" s="21" t="str">
        <f t="shared" si="18"/>
        <v>nonror</v>
      </c>
      <c r="AJ177" s="22" t="str">
        <f t="shared" si="19"/>
        <v/>
      </c>
    </row>
    <row r="178" spans="1:36" x14ac:dyDescent="0.25">
      <c r="A178" s="2">
        <v>19</v>
      </c>
      <c r="B178" s="2">
        <v>7</v>
      </c>
      <c r="C178" s="2">
        <v>5.9366754617414197E-2</v>
      </c>
      <c r="D178" s="2">
        <v>2.6385224274406301E-3</v>
      </c>
      <c r="E178" s="2">
        <v>6.2005277044854798E-2</v>
      </c>
      <c r="F178" s="2">
        <v>1.5831134564643801E-2</v>
      </c>
      <c r="G178" s="2">
        <v>0.122691292875989</v>
      </c>
      <c r="H178" s="2">
        <v>1.05540897097625E-2</v>
      </c>
      <c r="I178" s="2">
        <v>1.9788918205804699E-2</v>
      </c>
      <c r="J178" s="2">
        <v>4.4854881266490697E-2</v>
      </c>
      <c r="K178" s="2">
        <v>6.8601583113456405E-2</v>
      </c>
      <c r="L178" s="2">
        <v>3.9577836411609502E-3</v>
      </c>
      <c r="M178" s="2">
        <v>0</v>
      </c>
      <c r="N178" s="2">
        <v>3.03430079155672E-2</v>
      </c>
      <c r="O178" s="2">
        <v>3.03430079155672E-2</v>
      </c>
      <c r="P178" s="2">
        <v>4.6174142480210997E-2</v>
      </c>
      <c r="Q178" s="2">
        <v>0.174142480211081</v>
      </c>
      <c r="R178" s="2">
        <v>5.1451187335092297E-2</v>
      </c>
      <c r="S178" s="2">
        <v>0</v>
      </c>
      <c r="T178" s="2">
        <v>0.10158311345646399</v>
      </c>
      <c r="U178" s="2">
        <v>3.8258575197889097E-2</v>
      </c>
      <c r="V178" s="2">
        <v>7.5197889182057998E-2</v>
      </c>
      <c r="W178" s="2">
        <v>1.9788918205804699E-2</v>
      </c>
      <c r="X178" s="2">
        <v>6.5963060686015798E-3</v>
      </c>
      <c r="Y178" s="2">
        <v>0</v>
      </c>
      <c r="Z178" s="2">
        <v>1.3192612137203101E-3</v>
      </c>
      <c r="AA178" s="2">
        <v>1.45118733509234E-2</v>
      </c>
      <c r="AB178" s="2">
        <v>0</v>
      </c>
      <c r="AC178" s="19">
        <f t="shared" si="14"/>
        <v>0.174142480211081</v>
      </c>
      <c r="AD178" s="20" t="str">
        <f t="shared" si="15"/>
        <v>o</v>
      </c>
      <c r="AE178" s="21" t="str">
        <f t="shared" si="20"/>
        <v>pneeroo</v>
      </c>
      <c r="AF178" s="22" t="str">
        <f t="shared" si="16"/>
        <v/>
      </c>
      <c r="AG178" s="19" cm="1">
        <f t="array" ref="AG178">MAX(IF($C178:$AB178&lt;AC178,$C178:$AB178))</f>
        <v>0.122691292875989</v>
      </c>
      <c r="AH178" s="20" t="str">
        <f t="shared" si="17"/>
        <v>e</v>
      </c>
      <c r="AI178" s="21" t="str">
        <f t="shared" si="18"/>
        <v>nonrore</v>
      </c>
      <c r="AJ178" s="22" t="str">
        <f t="shared" si="19"/>
        <v/>
      </c>
    </row>
    <row r="179" spans="1:36" x14ac:dyDescent="0.25">
      <c r="A179" s="2">
        <v>19</v>
      </c>
      <c r="B179" s="2">
        <v>8</v>
      </c>
      <c r="C179" s="2">
        <v>5.9366754617414197E-2</v>
      </c>
      <c r="D179" s="2">
        <v>9.2348284960422095E-3</v>
      </c>
      <c r="E179" s="2">
        <v>5.1451187335092297E-2</v>
      </c>
      <c r="F179" s="2">
        <v>1.9788918205804699E-2</v>
      </c>
      <c r="G179" s="2">
        <v>0.10026385224274401</v>
      </c>
      <c r="H179" s="2">
        <v>1.45118733509234E-2</v>
      </c>
      <c r="I179" s="2">
        <v>1.8469656992084402E-2</v>
      </c>
      <c r="J179" s="2">
        <v>4.6174142480210997E-2</v>
      </c>
      <c r="K179" s="2">
        <v>7.3878627968337704E-2</v>
      </c>
      <c r="L179" s="2">
        <v>0</v>
      </c>
      <c r="M179" s="2">
        <v>1.3192612137203101E-3</v>
      </c>
      <c r="N179" s="2">
        <v>5.9366754617414197E-2</v>
      </c>
      <c r="O179" s="2">
        <v>4.6174142480210997E-2</v>
      </c>
      <c r="P179" s="2">
        <v>8.7071240105540904E-2</v>
      </c>
      <c r="Q179" s="2">
        <v>0.112137203166226</v>
      </c>
      <c r="R179" s="2">
        <v>4.8812664907651702E-2</v>
      </c>
      <c r="S179" s="2">
        <v>1.3192612137203101E-3</v>
      </c>
      <c r="T179" s="2">
        <v>6.5963060686015804E-2</v>
      </c>
      <c r="U179" s="2">
        <v>6.0686015831134497E-2</v>
      </c>
      <c r="V179" s="2">
        <v>9.1029023746701798E-2</v>
      </c>
      <c r="W179" s="2">
        <v>1.7150395778364101E-2</v>
      </c>
      <c r="X179" s="2">
        <v>7.9155672823219003E-3</v>
      </c>
      <c r="Y179" s="2">
        <v>0</v>
      </c>
      <c r="Z179" s="2">
        <v>0</v>
      </c>
      <c r="AA179" s="2">
        <v>7.9155672823219003E-3</v>
      </c>
      <c r="AB179" s="2">
        <v>0</v>
      </c>
      <c r="AC179" s="19">
        <f t="shared" si="14"/>
        <v>0.112137203166226</v>
      </c>
      <c r="AD179" s="20" t="str">
        <f t="shared" si="15"/>
        <v>o</v>
      </c>
      <c r="AE179" s="21" t="str">
        <f t="shared" si="20"/>
        <v>pneerooo</v>
      </c>
      <c r="AF179" s="22" t="str">
        <f t="shared" si="16"/>
        <v/>
      </c>
      <c r="AG179" s="19" cm="1">
        <f t="array" ref="AG179">MAX(IF($C179:$AB179&lt;AC179,$C179:$AB179))</f>
        <v>0.10026385224274401</v>
      </c>
      <c r="AH179" s="20" t="str">
        <f t="shared" si="17"/>
        <v>e</v>
      </c>
      <c r="AI179" s="21" t="str">
        <f t="shared" si="18"/>
        <v>nonroree</v>
      </c>
      <c r="AJ179" s="22" t="str">
        <f t="shared" si="19"/>
        <v/>
      </c>
    </row>
    <row r="180" spans="1:36" x14ac:dyDescent="0.25">
      <c r="A180" s="2">
        <v>19</v>
      </c>
      <c r="B180" s="2">
        <v>9</v>
      </c>
      <c r="C180" s="2">
        <v>7.2559366754617396E-2</v>
      </c>
      <c r="D180" s="2">
        <v>6.5963060686015798E-3</v>
      </c>
      <c r="E180" s="2">
        <v>4.3535620052770403E-2</v>
      </c>
      <c r="F180" s="2">
        <v>2.37467018469656E-2</v>
      </c>
      <c r="G180" s="2">
        <v>0.102902374670184</v>
      </c>
      <c r="H180" s="2">
        <v>6.5963060686015798E-3</v>
      </c>
      <c r="I180" s="2">
        <v>3.1662269129287601E-2</v>
      </c>
      <c r="J180" s="2">
        <v>5.5408970976253198E-2</v>
      </c>
      <c r="K180" s="2">
        <v>9.8944591029023699E-2</v>
      </c>
      <c r="L180" s="2">
        <v>1.3192612137203101E-3</v>
      </c>
      <c r="M180" s="2">
        <v>0</v>
      </c>
      <c r="N180" s="2">
        <v>3.1662269129287601E-2</v>
      </c>
      <c r="O180" s="2">
        <v>3.9577836411609502E-2</v>
      </c>
      <c r="P180" s="2">
        <v>5.2770448548812597E-2</v>
      </c>
      <c r="Q180" s="2">
        <v>9.2348284960422106E-2</v>
      </c>
      <c r="R180" s="2">
        <v>3.6939313984168803E-2</v>
      </c>
      <c r="S180" s="2">
        <v>1.3192612137203101E-3</v>
      </c>
      <c r="T180" s="2">
        <v>8.9709762532981505E-2</v>
      </c>
      <c r="U180" s="2">
        <v>5.6728232189973603E-2</v>
      </c>
      <c r="V180" s="2">
        <v>8.7071240105540904E-2</v>
      </c>
      <c r="W180" s="2">
        <v>3.1662269129287601E-2</v>
      </c>
      <c r="X180" s="2">
        <v>1.45118733509234E-2</v>
      </c>
      <c r="Y180" s="2">
        <v>1.3192612137203101E-3</v>
      </c>
      <c r="Z180" s="2">
        <v>1.3192612137203101E-3</v>
      </c>
      <c r="AA180" s="2">
        <v>1.9788918205804699E-2</v>
      </c>
      <c r="AB180" s="2">
        <v>0</v>
      </c>
      <c r="AC180" s="19">
        <f t="shared" si="14"/>
        <v>0.102902374670184</v>
      </c>
      <c r="AD180" s="20" t="str">
        <f t="shared" si="15"/>
        <v>e</v>
      </c>
      <c r="AE180" s="21" t="str">
        <f t="shared" si="20"/>
        <v>pneeroooe</v>
      </c>
      <c r="AF180" s="22" t="str">
        <f t="shared" si="16"/>
        <v/>
      </c>
      <c r="AG180" s="19" cm="1">
        <f t="array" ref="AG180">MAX(IF($C180:$AB180&lt;AC180,$C180:$AB180))</f>
        <v>9.8944591029023699E-2</v>
      </c>
      <c r="AH180" s="20" t="str">
        <f t="shared" si="17"/>
        <v>i</v>
      </c>
      <c r="AI180" s="21" t="str">
        <f t="shared" si="18"/>
        <v>nonroreei</v>
      </c>
      <c r="AJ180" s="22" t="str">
        <f t="shared" si="19"/>
        <v/>
      </c>
    </row>
    <row r="181" spans="1:36" x14ac:dyDescent="0.25">
      <c r="A181" s="2">
        <v>19</v>
      </c>
      <c r="B181" s="2">
        <v>10</v>
      </c>
      <c r="C181" s="2">
        <v>8.1794195250659604E-2</v>
      </c>
      <c r="D181" s="2">
        <v>5.2770448548812602E-3</v>
      </c>
      <c r="E181" s="2">
        <v>5.2770448548812597E-2</v>
      </c>
      <c r="F181" s="2">
        <v>1.9788918205804699E-2</v>
      </c>
      <c r="G181" s="2">
        <v>0.108179419525065</v>
      </c>
      <c r="H181" s="2">
        <v>5.2770448548812602E-3</v>
      </c>
      <c r="I181" s="2">
        <v>1.05540897097625E-2</v>
      </c>
      <c r="J181" s="2">
        <v>2.7704485488126599E-2</v>
      </c>
      <c r="K181" s="2">
        <v>7.2559366754617396E-2</v>
      </c>
      <c r="L181" s="2">
        <v>0</v>
      </c>
      <c r="M181" s="2">
        <v>0</v>
      </c>
      <c r="N181" s="2">
        <v>7.1240105540897103E-2</v>
      </c>
      <c r="O181" s="2">
        <v>5.4089709762532898E-2</v>
      </c>
      <c r="P181" s="2">
        <v>7.9155672823219003E-2</v>
      </c>
      <c r="Q181" s="2">
        <v>0.114775725593667</v>
      </c>
      <c r="R181" s="2">
        <v>3.9577836411609502E-2</v>
      </c>
      <c r="S181" s="2">
        <v>0</v>
      </c>
      <c r="T181" s="2">
        <v>7.1240105540897103E-2</v>
      </c>
      <c r="U181" s="2">
        <v>4.2216358839050103E-2</v>
      </c>
      <c r="V181" s="2">
        <v>8.4432717678100205E-2</v>
      </c>
      <c r="W181" s="2">
        <v>4.0897097625329802E-2</v>
      </c>
      <c r="X181" s="2">
        <v>1.3192612137203101E-3</v>
      </c>
      <c r="Y181" s="2">
        <v>1.3192612137203101E-3</v>
      </c>
      <c r="Z181" s="2">
        <v>0</v>
      </c>
      <c r="AA181" s="2">
        <v>1.5831134564643801E-2</v>
      </c>
      <c r="AB181" s="2">
        <v>0</v>
      </c>
      <c r="AC181" s="19">
        <f t="shared" si="14"/>
        <v>0.114775725593667</v>
      </c>
      <c r="AD181" s="20" t="str">
        <f t="shared" si="15"/>
        <v>o</v>
      </c>
      <c r="AE181" s="21" t="str">
        <f t="shared" si="20"/>
        <v>pneeroooeo</v>
      </c>
      <c r="AF181" s="22" t="str">
        <f t="shared" si="16"/>
        <v/>
      </c>
      <c r="AG181" s="19" cm="1">
        <f t="array" ref="AG181">MAX(IF($C181:$AB181&lt;AC181,$C181:$AB181))</f>
        <v>0.108179419525065</v>
      </c>
      <c r="AH181" s="20" t="str">
        <f t="shared" si="17"/>
        <v>e</v>
      </c>
      <c r="AI181" s="21" t="str">
        <f t="shared" si="18"/>
        <v>nonroreeie</v>
      </c>
      <c r="AJ181" s="22" t="str">
        <f t="shared" si="19"/>
        <v/>
      </c>
    </row>
    <row r="182" spans="1:36" x14ac:dyDescent="0.25">
      <c r="A182" s="2">
        <v>19</v>
      </c>
      <c r="B182" s="2">
        <v>11</v>
      </c>
      <c r="C182" s="2">
        <v>0.13852242744063301</v>
      </c>
      <c r="D182" s="2">
        <v>6.5963060686015798E-3</v>
      </c>
      <c r="E182" s="2">
        <v>4.8812664907651702E-2</v>
      </c>
      <c r="F182" s="2">
        <v>2.1108179419524999E-2</v>
      </c>
      <c r="G182" s="2">
        <v>7.6517150395778305E-2</v>
      </c>
      <c r="H182" s="2">
        <v>3.9577836411609502E-3</v>
      </c>
      <c r="I182" s="2">
        <v>2.24274406332453E-2</v>
      </c>
      <c r="J182" s="2">
        <v>5.4089709762532898E-2</v>
      </c>
      <c r="K182" s="2">
        <v>0.11081794195250599</v>
      </c>
      <c r="L182" s="2">
        <v>0</v>
      </c>
      <c r="M182" s="2">
        <v>0</v>
      </c>
      <c r="N182" s="2">
        <v>5.5408970976253198E-2</v>
      </c>
      <c r="O182" s="2">
        <v>2.5065963060686001E-2</v>
      </c>
      <c r="P182" s="2">
        <v>8.0474934036939297E-2</v>
      </c>
      <c r="Q182" s="2">
        <v>6.3324538258575203E-2</v>
      </c>
      <c r="R182" s="2">
        <v>2.7704485488126599E-2</v>
      </c>
      <c r="S182" s="2">
        <v>0</v>
      </c>
      <c r="T182" s="2">
        <v>0.10026385224274401</v>
      </c>
      <c r="U182" s="2">
        <v>4.0897097625329802E-2</v>
      </c>
      <c r="V182" s="2">
        <v>8.5751978891820499E-2</v>
      </c>
      <c r="W182" s="2">
        <v>1.7150395778364101E-2</v>
      </c>
      <c r="X182" s="2">
        <v>2.6385224274406301E-3</v>
      </c>
      <c r="Y182" s="2">
        <v>1.3192612137203101E-3</v>
      </c>
      <c r="Z182" s="2">
        <v>0</v>
      </c>
      <c r="AA182" s="2">
        <v>1.5831134564643801E-2</v>
      </c>
      <c r="AB182" s="2">
        <v>1.3192612137203101E-3</v>
      </c>
      <c r="AC182" s="19">
        <f t="shared" si="14"/>
        <v>0.13852242744063301</v>
      </c>
      <c r="AD182" s="20" t="str">
        <f t="shared" si="15"/>
        <v>a</v>
      </c>
      <c r="AE182" s="21" t="str">
        <f t="shared" si="20"/>
        <v>pneeroooeoa</v>
      </c>
      <c r="AF182" s="22" t="str">
        <f t="shared" si="16"/>
        <v/>
      </c>
      <c r="AG182" s="19" cm="1">
        <f t="array" ref="AG182">MAX(IF($C182:$AB182&lt;AC182,$C182:$AB182))</f>
        <v>0.11081794195250599</v>
      </c>
      <c r="AH182" s="20" t="str">
        <f t="shared" si="17"/>
        <v>i</v>
      </c>
      <c r="AI182" s="21" t="str">
        <f t="shared" si="18"/>
        <v>nonroreeiei</v>
      </c>
      <c r="AJ182" s="22" t="str">
        <f t="shared" si="19"/>
        <v/>
      </c>
    </row>
    <row r="183" spans="1:36" x14ac:dyDescent="0.25">
      <c r="A183" s="2">
        <v>19</v>
      </c>
      <c r="B183" s="2">
        <v>12</v>
      </c>
      <c r="C183" s="2">
        <v>0.113456464379947</v>
      </c>
      <c r="D183" s="2">
        <v>6.5963060686015798E-3</v>
      </c>
      <c r="E183" s="2">
        <v>3.6939313984168803E-2</v>
      </c>
      <c r="F183" s="2">
        <v>1.5831134564643801E-2</v>
      </c>
      <c r="G183" s="2">
        <v>6.9920844327176698E-2</v>
      </c>
      <c r="H183" s="2">
        <v>1.18733509234828E-2</v>
      </c>
      <c r="I183" s="2">
        <v>1.18733509234828E-2</v>
      </c>
      <c r="J183" s="2">
        <v>1.5831134564643801E-2</v>
      </c>
      <c r="K183" s="2">
        <v>0.113456464379947</v>
      </c>
      <c r="L183" s="2">
        <v>0</v>
      </c>
      <c r="M183" s="2">
        <v>0</v>
      </c>
      <c r="N183" s="2">
        <v>5.9366754617414197E-2</v>
      </c>
      <c r="O183" s="2">
        <v>1.5831134564643801E-2</v>
      </c>
      <c r="P183" s="2">
        <v>6.9920844327176698E-2</v>
      </c>
      <c r="Q183" s="2">
        <v>0.131926121372031</v>
      </c>
      <c r="R183" s="2">
        <v>4.0897097625329802E-2</v>
      </c>
      <c r="S183" s="2">
        <v>0</v>
      </c>
      <c r="T183" s="2">
        <v>5.2770448548812597E-2</v>
      </c>
      <c r="U183" s="2">
        <v>7.3878627968337704E-2</v>
      </c>
      <c r="V183" s="2">
        <v>0.12664907651714999</v>
      </c>
      <c r="W183" s="2">
        <v>1.8469656992084402E-2</v>
      </c>
      <c r="X183" s="2">
        <v>3.9577836411609502E-3</v>
      </c>
      <c r="Y183" s="2">
        <v>1.3192612137203101E-3</v>
      </c>
      <c r="Z183" s="2">
        <v>1.3192612137203101E-3</v>
      </c>
      <c r="AA183" s="2">
        <v>6.5963060686015798E-3</v>
      </c>
      <c r="AB183" s="2">
        <v>1.3192612137203101E-3</v>
      </c>
      <c r="AC183" s="19">
        <f t="shared" si="14"/>
        <v>0.131926121372031</v>
      </c>
      <c r="AD183" s="20" t="str">
        <f t="shared" si="15"/>
        <v>o</v>
      </c>
      <c r="AE183" s="21" t="str">
        <f t="shared" si="20"/>
        <v>pneeroooeoao</v>
      </c>
      <c r="AF183" s="22" t="str">
        <f t="shared" si="16"/>
        <v/>
      </c>
      <c r="AG183" s="19" cm="1">
        <f t="array" ref="AG183">MAX(IF($C183:$AB183&lt;AC183,$C183:$AB183))</f>
        <v>0.12664907651714999</v>
      </c>
      <c r="AH183" s="20" t="str">
        <f t="shared" si="17"/>
        <v>t</v>
      </c>
      <c r="AI183" s="21" t="str">
        <f t="shared" si="18"/>
        <v>nonroreeieit</v>
      </c>
      <c r="AJ183" s="22" t="str">
        <f t="shared" si="19"/>
        <v/>
      </c>
    </row>
    <row r="184" spans="1:36" x14ac:dyDescent="0.25">
      <c r="A184" s="2">
        <v>19</v>
      </c>
      <c r="B184" s="2">
        <v>13</v>
      </c>
      <c r="C184" s="2">
        <v>0.10026385224274401</v>
      </c>
      <c r="D184" s="2">
        <v>4.3535620052770403E-2</v>
      </c>
      <c r="E184" s="2">
        <v>4.7493403693931298E-2</v>
      </c>
      <c r="F184" s="2">
        <v>6.5963060686015798E-3</v>
      </c>
      <c r="G184" s="2">
        <v>5.0131926121372003E-2</v>
      </c>
      <c r="H184" s="2">
        <v>3.9577836411609502E-3</v>
      </c>
      <c r="I184" s="2">
        <v>3.03430079155672E-2</v>
      </c>
      <c r="J184" s="2">
        <v>4.6174142480210997E-2</v>
      </c>
      <c r="K184" s="2">
        <v>0.16886543535619999</v>
      </c>
      <c r="L184" s="2">
        <v>0</v>
      </c>
      <c r="M184" s="2">
        <v>0</v>
      </c>
      <c r="N184" s="2">
        <v>6.7282321899736097E-2</v>
      </c>
      <c r="O184" s="2">
        <v>1.7150395778364101E-2</v>
      </c>
      <c r="P184" s="2">
        <v>4.4854881266490697E-2</v>
      </c>
      <c r="Q184" s="2">
        <v>0.12137203166226899</v>
      </c>
      <c r="R184" s="2">
        <v>2.37467018469656E-2</v>
      </c>
      <c r="S184" s="2">
        <v>1.3192612137203101E-3</v>
      </c>
      <c r="T184" s="2">
        <v>4.8812664907651702E-2</v>
      </c>
      <c r="U184" s="2">
        <v>2.7704485488126599E-2</v>
      </c>
      <c r="V184" s="2">
        <v>0.12532981530342999</v>
      </c>
      <c r="W184" s="2">
        <v>1.7150395778364101E-2</v>
      </c>
      <c r="X184" s="2">
        <v>0</v>
      </c>
      <c r="Y184" s="2">
        <v>0</v>
      </c>
      <c r="Z184" s="2">
        <v>2.6385224274406301E-3</v>
      </c>
      <c r="AA184" s="2">
        <v>5.2770448548812602E-3</v>
      </c>
      <c r="AB184" s="2">
        <v>0</v>
      </c>
      <c r="AC184" s="19">
        <f t="shared" si="14"/>
        <v>0.16886543535619999</v>
      </c>
      <c r="AD184" s="20" t="str">
        <f t="shared" si="15"/>
        <v>i</v>
      </c>
      <c r="AE184" s="21" t="str">
        <f t="shared" si="20"/>
        <v>pneeroooeoaoi</v>
      </c>
      <c r="AF184" s="22" t="str">
        <f t="shared" si="16"/>
        <v/>
      </c>
      <c r="AG184" s="19" cm="1">
        <f t="array" ref="AG184">MAX(IF($C184:$AB184&lt;AC184,$C184:$AB184))</f>
        <v>0.12532981530342999</v>
      </c>
      <c r="AH184" s="20" t="str">
        <f t="shared" si="17"/>
        <v>t</v>
      </c>
      <c r="AI184" s="21" t="str">
        <f t="shared" si="18"/>
        <v>nonroreeieitt</v>
      </c>
      <c r="AJ184" s="22" t="str">
        <f t="shared" si="19"/>
        <v/>
      </c>
    </row>
    <row r="185" spans="1:36" x14ac:dyDescent="0.25">
      <c r="A185" s="2">
        <v>19</v>
      </c>
      <c r="B185" s="2">
        <v>14</v>
      </c>
      <c r="C185" s="2">
        <v>5.4089709762532898E-2</v>
      </c>
      <c r="D185" s="2">
        <v>2.6385224274406299E-2</v>
      </c>
      <c r="E185" s="2">
        <v>3.03430079155672E-2</v>
      </c>
      <c r="F185" s="2">
        <v>1.3192612137203101E-2</v>
      </c>
      <c r="G185" s="2">
        <v>4.7493403693931298E-2</v>
      </c>
      <c r="H185" s="2">
        <v>0</v>
      </c>
      <c r="I185" s="2">
        <v>1.7150395778364101E-2</v>
      </c>
      <c r="J185" s="2">
        <v>2.5065963060686001E-2</v>
      </c>
      <c r="K185" s="2">
        <v>0.16094986807387801</v>
      </c>
      <c r="L185" s="2">
        <v>0</v>
      </c>
      <c r="M185" s="2">
        <v>3.9577836411609502E-3</v>
      </c>
      <c r="N185" s="2">
        <v>8.4432717678100205E-2</v>
      </c>
      <c r="O185" s="2">
        <v>1.45118733509234E-2</v>
      </c>
      <c r="P185" s="2">
        <v>6.4643799472295496E-2</v>
      </c>
      <c r="Q185" s="2">
        <v>0.10026385224274401</v>
      </c>
      <c r="R185" s="2">
        <v>3.1662269129287601E-2</v>
      </c>
      <c r="S185" s="2">
        <v>0</v>
      </c>
      <c r="T185" s="2">
        <v>4.3535620052770403E-2</v>
      </c>
      <c r="U185" s="2">
        <v>2.6385224274406299E-2</v>
      </c>
      <c r="V185" s="2">
        <v>0.10026385224274401</v>
      </c>
      <c r="W185" s="2">
        <v>6.2005277044854798E-2</v>
      </c>
      <c r="X185" s="2">
        <v>4.8812664907651702E-2</v>
      </c>
      <c r="Y185" s="2">
        <v>1.3192612137203101E-3</v>
      </c>
      <c r="Z185" s="2">
        <v>0</v>
      </c>
      <c r="AA185" s="2">
        <v>9.2348284960422095E-3</v>
      </c>
      <c r="AB185" s="2">
        <v>3.4300791556728202E-2</v>
      </c>
      <c r="AC185" s="19">
        <f t="shared" si="14"/>
        <v>0.16094986807387801</v>
      </c>
      <c r="AD185" s="20" t="str">
        <f t="shared" si="15"/>
        <v>i</v>
      </c>
      <c r="AE185" s="21" t="str">
        <f t="shared" si="20"/>
        <v>pneeroooeoaoii</v>
      </c>
      <c r="AF185" s="22" t="str">
        <f t="shared" si="16"/>
        <v/>
      </c>
      <c r="AG185" s="19" cm="1">
        <f t="array" ref="AG185">MAX(IF($C185:$AB185&lt;AC185,$C185:$AB185))</f>
        <v>0.10026385224274401</v>
      </c>
      <c r="AH185" s="20" t="str">
        <f t="shared" si="17"/>
        <v>o</v>
      </c>
      <c r="AI185" s="21" t="str">
        <f t="shared" si="18"/>
        <v>nonroreeieitto</v>
      </c>
      <c r="AJ185" s="22" t="str">
        <f t="shared" si="19"/>
        <v/>
      </c>
    </row>
    <row r="186" spans="1:36" x14ac:dyDescent="0.25">
      <c r="A186" s="2">
        <v>19</v>
      </c>
      <c r="B186" s="2">
        <v>15</v>
      </c>
      <c r="C186" s="2">
        <v>0.15831134564643801</v>
      </c>
      <c r="D186" s="2">
        <v>5.2770448548812602E-3</v>
      </c>
      <c r="E186" s="2">
        <v>0.133245382585751</v>
      </c>
      <c r="F186" s="2">
        <v>1.05540897097625E-2</v>
      </c>
      <c r="G186" s="2">
        <v>0.133245382585751</v>
      </c>
      <c r="H186" s="2">
        <v>0</v>
      </c>
      <c r="I186" s="2">
        <v>5.4089709762532898E-2</v>
      </c>
      <c r="J186" s="2">
        <v>4.6174142480210997E-2</v>
      </c>
      <c r="K186" s="2">
        <v>0.122691292875989</v>
      </c>
      <c r="L186" s="2">
        <v>0</v>
      </c>
      <c r="M186" s="2">
        <v>0</v>
      </c>
      <c r="N186" s="2">
        <v>4.7493403693931298E-2</v>
      </c>
      <c r="O186" s="2">
        <v>1.5831134564643801E-2</v>
      </c>
      <c r="P186" s="2">
        <v>3.4300791556728202E-2</v>
      </c>
      <c r="Q186" s="2">
        <v>6.0686015831134497E-2</v>
      </c>
      <c r="R186" s="2">
        <v>1.3192612137203101E-2</v>
      </c>
      <c r="S186" s="2">
        <v>0</v>
      </c>
      <c r="T186" s="2">
        <v>4.0897097625329802E-2</v>
      </c>
      <c r="U186" s="2">
        <v>6.7282321899736097E-2</v>
      </c>
      <c r="V186" s="2">
        <v>3.6939313984168803E-2</v>
      </c>
      <c r="W186" s="2">
        <v>1.45118733509234E-2</v>
      </c>
      <c r="X186" s="2">
        <v>0</v>
      </c>
      <c r="Y186" s="2">
        <v>0</v>
      </c>
      <c r="Z186" s="2">
        <v>1.3192612137203101E-3</v>
      </c>
      <c r="AA186" s="2">
        <v>3.9577836411609502E-3</v>
      </c>
      <c r="AB186" s="2">
        <v>0</v>
      </c>
      <c r="AC186" s="19">
        <f t="shared" si="14"/>
        <v>0.15831134564643801</v>
      </c>
      <c r="AD186" s="20" t="str">
        <f t="shared" si="15"/>
        <v>a</v>
      </c>
      <c r="AE186" s="21" t="str">
        <f t="shared" si="20"/>
        <v>pneeroooeoaoiia</v>
      </c>
      <c r="AF186" s="22" t="str">
        <f t="shared" si="16"/>
        <v/>
      </c>
      <c r="AG186" s="19" cm="1">
        <f t="array" ref="AG186">MAX(IF($C186:$AB186&lt;AC186,$C186:$AB186))</f>
        <v>0.133245382585751</v>
      </c>
      <c r="AH186" s="20" t="str">
        <f t="shared" si="17"/>
        <v>c</v>
      </c>
      <c r="AI186" s="21" t="str">
        <f t="shared" si="18"/>
        <v>nonroreeieittoc</v>
      </c>
      <c r="AJ186" s="22" t="str">
        <f t="shared" si="19"/>
        <v/>
      </c>
    </row>
    <row r="187" spans="1:36" x14ac:dyDescent="0.25">
      <c r="A187" s="2">
        <v>19</v>
      </c>
      <c r="B187" s="2">
        <v>16</v>
      </c>
      <c r="C187" s="2">
        <v>0.171503957783641</v>
      </c>
      <c r="D187" s="2">
        <v>0</v>
      </c>
      <c r="E187" s="2">
        <v>2.1108179419524999E-2</v>
      </c>
      <c r="F187" s="2">
        <v>1.18733509234828E-2</v>
      </c>
      <c r="G187" s="2">
        <v>4.3535620052770403E-2</v>
      </c>
      <c r="H187" s="2">
        <v>0</v>
      </c>
      <c r="I187" s="2">
        <v>2.5065963060686001E-2</v>
      </c>
      <c r="J187" s="2">
        <v>1.7150395778364101E-2</v>
      </c>
      <c r="K187" s="2">
        <v>0.114775725593667</v>
      </c>
      <c r="L187" s="2">
        <v>0</v>
      </c>
      <c r="M187" s="2">
        <v>0</v>
      </c>
      <c r="N187" s="2">
        <v>8.1794195250659604E-2</v>
      </c>
      <c r="O187" s="2">
        <v>1.5831134564643801E-2</v>
      </c>
      <c r="P187" s="2">
        <v>0.19788918205804701</v>
      </c>
      <c r="Q187" s="2">
        <v>3.5620052770448503E-2</v>
      </c>
      <c r="R187" s="2">
        <v>1.05540897097625E-2</v>
      </c>
      <c r="S187" s="2">
        <v>0</v>
      </c>
      <c r="T187" s="2">
        <v>3.03430079155672E-2</v>
      </c>
      <c r="U187" s="2">
        <v>3.2981530343007902E-2</v>
      </c>
      <c r="V187" s="2">
        <v>0.137203166226912</v>
      </c>
      <c r="W187" s="2">
        <v>1.3192612137203101E-2</v>
      </c>
      <c r="X187" s="2">
        <v>1.9788918205804699E-2</v>
      </c>
      <c r="Y187" s="2">
        <v>0</v>
      </c>
      <c r="Z187" s="2">
        <v>0</v>
      </c>
      <c r="AA187" s="2">
        <v>6.5963060686015798E-3</v>
      </c>
      <c r="AB187" s="2">
        <v>1.3192612137203101E-2</v>
      </c>
      <c r="AC187" s="19">
        <f t="shared" si="14"/>
        <v>0.19788918205804701</v>
      </c>
      <c r="AD187" s="20" t="str">
        <f t="shared" si="15"/>
        <v>n</v>
      </c>
      <c r="AE187" s="21" t="str">
        <f t="shared" si="20"/>
        <v>pneeroooeoaoiian</v>
      </c>
      <c r="AF187" s="22" t="str">
        <f t="shared" si="16"/>
        <v/>
      </c>
      <c r="AG187" s="19" cm="1">
        <f t="array" ref="AG187">MAX(IF($C187:$AB187&lt;AC187,$C187:$AB187))</f>
        <v>0.171503957783641</v>
      </c>
      <c r="AH187" s="20" t="str">
        <f t="shared" si="17"/>
        <v>a</v>
      </c>
      <c r="AI187" s="21" t="str">
        <f t="shared" si="18"/>
        <v>nonroreeieittoca</v>
      </c>
      <c r="AJ187" s="22" t="str">
        <f t="shared" si="19"/>
        <v/>
      </c>
    </row>
    <row r="188" spans="1:36" x14ac:dyDescent="0.25">
      <c r="A188" s="2">
        <v>19</v>
      </c>
      <c r="B188" s="2">
        <v>17</v>
      </c>
      <c r="C188" s="2">
        <v>3.1662269129287601E-2</v>
      </c>
      <c r="D188" s="2">
        <v>2.6385224274406301E-3</v>
      </c>
      <c r="E188" s="2">
        <v>7.3878627968337704E-2</v>
      </c>
      <c r="F188" s="2">
        <v>1.3192612137203101E-3</v>
      </c>
      <c r="G188" s="2">
        <v>0.20976253298153</v>
      </c>
      <c r="H188" s="2">
        <v>0</v>
      </c>
      <c r="I188" s="2">
        <v>5.2770448548812602E-3</v>
      </c>
      <c r="J188" s="2">
        <v>1.7150395778364101E-2</v>
      </c>
      <c r="K188" s="2">
        <v>0.24010554089709699</v>
      </c>
      <c r="L188" s="2">
        <v>0</v>
      </c>
      <c r="M188" s="2">
        <v>0</v>
      </c>
      <c r="N188" s="2">
        <v>0.14248021108179401</v>
      </c>
      <c r="O188" s="2">
        <v>1.05540897097625E-2</v>
      </c>
      <c r="P188" s="2">
        <v>4.4854881266490697E-2</v>
      </c>
      <c r="Q188" s="2">
        <v>7.7836411609498599E-2</v>
      </c>
      <c r="R188" s="2">
        <v>1.5831134564643801E-2</v>
      </c>
      <c r="S188" s="2">
        <v>0</v>
      </c>
      <c r="T188" s="2">
        <v>1.8469656992084402E-2</v>
      </c>
      <c r="U188" s="2">
        <v>3.1662269129287601E-2</v>
      </c>
      <c r="V188" s="2">
        <v>6.3324538258575203E-2</v>
      </c>
      <c r="W188" s="2">
        <v>2.6385224274406301E-3</v>
      </c>
      <c r="X188" s="2">
        <v>0</v>
      </c>
      <c r="Y188" s="2">
        <v>0</v>
      </c>
      <c r="Z188" s="2">
        <v>0</v>
      </c>
      <c r="AA188" s="2">
        <v>5.2770448548812602E-3</v>
      </c>
      <c r="AB188" s="2">
        <v>5.2770448548812602E-3</v>
      </c>
      <c r="AC188" s="19">
        <f t="shared" si="14"/>
        <v>0.24010554089709699</v>
      </c>
      <c r="AD188" s="20" t="str">
        <f t="shared" si="15"/>
        <v>i</v>
      </c>
      <c r="AE188" s="21" t="str">
        <f t="shared" si="20"/>
        <v>pneeroooeoaoiiani</v>
      </c>
      <c r="AF188" s="22" t="str">
        <f t="shared" si="16"/>
        <v/>
      </c>
      <c r="AG188" s="19" cm="1">
        <f t="array" ref="AG188">MAX(IF($C188:$AB188&lt;AC188,$C188:$AB188))</f>
        <v>0.20976253298153</v>
      </c>
      <c r="AH188" s="20" t="str">
        <f t="shared" si="17"/>
        <v>e</v>
      </c>
      <c r="AI188" s="21" t="str">
        <f t="shared" si="18"/>
        <v>nonroreeieittocae</v>
      </c>
      <c r="AJ188" s="22" t="str">
        <f t="shared" si="19"/>
        <v/>
      </c>
    </row>
    <row r="189" spans="1:36" x14ac:dyDescent="0.25">
      <c r="A189" s="2">
        <v>19</v>
      </c>
      <c r="B189" s="2">
        <v>18</v>
      </c>
      <c r="C189" s="2">
        <v>0.12664907651714999</v>
      </c>
      <c r="D189" s="2">
        <v>0</v>
      </c>
      <c r="E189" s="2">
        <v>1.7150395778364101E-2</v>
      </c>
      <c r="F189" s="2">
        <v>7.9155672823219003E-3</v>
      </c>
      <c r="G189" s="2">
        <v>4.2216358839050103E-2</v>
      </c>
      <c r="H189" s="2">
        <v>0</v>
      </c>
      <c r="I189" s="2">
        <v>3.9577836411609502E-3</v>
      </c>
      <c r="J189" s="2">
        <v>1.3192612137203101E-2</v>
      </c>
      <c r="K189" s="2">
        <v>0.122691292875989</v>
      </c>
      <c r="L189" s="2">
        <v>0</v>
      </c>
      <c r="M189" s="2">
        <v>0</v>
      </c>
      <c r="N189" s="2">
        <v>0.16886543535619999</v>
      </c>
      <c r="O189" s="2">
        <v>2.6385224274406299E-2</v>
      </c>
      <c r="P189" s="2">
        <v>4.7493403693931298E-2</v>
      </c>
      <c r="Q189" s="2">
        <v>8.3113456464379898E-2</v>
      </c>
      <c r="R189" s="2">
        <v>1.3192612137203101E-2</v>
      </c>
      <c r="S189" s="2">
        <v>0</v>
      </c>
      <c r="T189" s="2">
        <v>1.05540897097625E-2</v>
      </c>
      <c r="U189" s="2">
        <v>0.21899736147757201</v>
      </c>
      <c r="V189" s="2">
        <v>6.4643799472295496E-2</v>
      </c>
      <c r="W189" s="2">
        <v>2.5065963060686001E-2</v>
      </c>
      <c r="X189" s="2">
        <v>2.6385224274406301E-3</v>
      </c>
      <c r="Y189" s="2">
        <v>0</v>
      </c>
      <c r="Z189" s="2">
        <v>0</v>
      </c>
      <c r="AA189" s="2">
        <v>0</v>
      </c>
      <c r="AB189" s="2">
        <v>5.2770448548812602E-3</v>
      </c>
      <c r="AC189" s="19">
        <f t="shared" si="14"/>
        <v>0.21899736147757201</v>
      </c>
      <c r="AD189" s="20" t="str">
        <f t="shared" si="15"/>
        <v>s</v>
      </c>
      <c r="AE189" s="21" t="str">
        <f t="shared" si="20"/>
        <v>pneeroooeoaoiianis</v>
      </c>
      <c r="AF189" s="22" t="str">
        <f t="shared" si="16"/>
        <v/>
      </c>
      <c r="AG189" s="19" cm="1">
        <f t="array" ref="AG189">MAX(IF($C189:$AB189&lt;AC189,$C189:$AB189))</f>
        <v>0.16886543535619999</v>
      </c>
      <c r="AH189" s="20" t="str">
        <f t="shared" si="17"/>
        <v>l</v>
      </c>
      <c r="AI189" s="21" t="str">
        <f t="shared" si="18"/>
        <v>nonroreeieittocael</v>
      </c>
      <c r="AJ189" s="22" t="str">
        <f t="shared" si="19"/>
        <v/>
      </c>
    </row>
    <row r="190" spans="1:36" x14ac:dyDescent="0.25">
      <c r="A190" s="2">
        <v>19</v>
      </c>
      <c r="B190" s="2">
        <v>19</v>
      </c>
      <c r="C190" s="2">
        <v>2.6385224274406299E-2</v>
      </c>
      <c r="D190" s="2">
        <v>0</v>
      </c>
      <c r="E190" s="2">
        <v>6.3324538258575203E-2</v>
      </c>
      <c r="F190" s="2">
        <v>1.18733509234828E-2</v>
      </c>
      <c r="G190" s="2">
        <v>7.2559366754617396E-2</v>
      </c>
      <c r="H190" s="2">
        <v>0</v>
      </c>
      <c r="I190" s="2">
        <v>1.05540897097625E-2</v>
      </c>
      <c r="J190" s="2">
        <v>3.9577836411609502E-3</v>
      </c>
      <c r="K190" s="2">
        <v>0</v>
      </c>
      <c r="L190" s="2">
        <v>0</v>
      </c>
      <c r="M190" s="2">
        <v>0</v>
      </c>
      <c r="N190" s="2">
        <v>0.113456464379947</v>
      </c>
      <c r="O190" s="2">
        <v>3.1662269129287601E-2</v>
      </c>
      <c r="P190" s="2">
        <v>9.3667546174142399E-2</v>
      </c>
      <c r="Q190" s="2">
        <v>0</v>
      </c>
      <c r="R190" s="2">
        <v>5.2770448548812602E-3</v>
      </c>
      <c r="S190" s="2">
        <v>0</v>
      </c>
      <c r="T190" s="2">
        <v>1.18733509234828E-2</v>
      </c>
      <c r="U190" s="2">
        <v>0.26385224274406299</v>
      </c>
      <c r="V190" s="2">
        <v>3.2981530343007902E-2</v>
      </c>
      <c r="W190" s="2">
        <v>0</v>
      </c>
      <c r="X190" s="2">
        <v>0</v>
      </c>
      <c r="Y190" s="2">
        <v>0</v>
      </c>
      <c r="Z190" s="2">
        <v>0</v>
      </c>
      <c r="AA190" s="2">
        <v>0.25857519788918198</v>
      </c>
      <c r="AB190" s="2">
        <v>0</v>
      </c>
      <c r="AC190" s="19">
        <f t="shared" si="14"/>
        <v>0.26385224274406299</v>
      </c>
      <c r="AD190" s="20" t="str">
        <f t="shared" si="15"/>
        <v>s</v>
      </c>
      <c r="AE190" s="21" t="str">
        <f t="shared" si="20"/>
        <v>pneeroooeoaoiianiss</v>
      </c>
      <c r="AF190" s="22" t="str">
        <f t="shared" si="16"/>
        <v>pneeroooeoaoiianiss</v>
      </c>
      <c r="AG190" s="19" cm="1">
        <f t="array" ref="AG190">MAX(IF($C190:$AB190&lt;AC190,$C190:$AB190))</f>
        <v>0.25857519788918198</v>
      </c>
      <c r="AH190" s="20" t="str">
        <f t="shared" si="17"/>
        <v>y</v>
      </c>
      <c r="AI190" s="21" t="str">
        <f t="shared" si="18"/>
        <v>nonroreeieittocaely</v>
      </c>
      <c r="AJ190" s="22" t="str">
        <f t="shared" si="19"/>
        <v>nonroreeieittocaely</v>
      </c>
    </row>
    <row r="191" spans="1:36" x14ac:dyDescent="0.25">
      <c r="A191" s="2">
        <v>20</v>
      </c>
      <c r="B191" s="2">
        <v>1</v>
      </c>
      <c r="C191" s="2">
        <v>0.108938547486033</v>
      </c>
      <c r="D191" s="2">
        <v>1.95530726256983E-2</v>
      </c>
      <c r="E191" s="2">
        <v>6.4245810055865896E-2</v>
      </c>
      <c r="F191" s="2">
        <v>2.5139664804469199E-2</v>
      </c>
      <c r="G191" s="2">
        <v>5.8659217877094903E-2</v>
      </c>
      <c r="H191" s="2">
        <v>0</v>
      </c>
      <c r="I191" s="2">
        <v>1.3966480446927301E-2</v>
      </c>
      <c r="J191" s="2">
        <v>6.4245810055865896E-2</v>
      </c>
      <c r="K191" s="2">
        <v>4.4692737430167599E-2</v>
      </c>
      <c r="L191" s="2">
        <v>0</v>
      </c>
      <c r="M191" s="2">
        <v>2.7932960893854702E-3</v>
      </c>
      <c r="N191" s="2">
        <v>1.3966480446927301E-2</v>
      </c>
      <c r="O191" s="2">
        <v>4.4692737430167599E-2</v>
      </c>
      <c r="P191" s="2">
        <v>0.103351955307262</v>
      </c>
      <c r="Q191" s="2">
        <v>5.5865921787709397E-2</v>
      </c>
      <c r="R191" s="2">
        <v>0.19553072625698301</v>
      </c>
      <c r="S191" s="2">
        <v>0</v>
      </c>
      <c r="T191" s="2">
        <v>1.11731843575419E-2</v>
      </c>
      <c r="U191" s="2">
        <v>8.1005586592178699E-2</v>
      </c>
      <c r="V191" s="2">
        <v>3.63128491620111E-2</v>
      </c>
      <c r="W191" s="2">
        <v>5.3072625698324001E-2</v>
      </c>
      <c r="X191" s="2">
        <v>2.7932960893854702E-3</v>
      </c>
      <c r="Y191" s="2">
        <v>0</v>
      </c>
      <c r="Z191" s="2">
        <v>0</v>
      </c>
      <c r="AA191" s="2">
        <v>0</v>
      </c>
      <c r="AB191" s="2">
        <v>0</v>
      </c>
      <c r="AC191" s="19">
        <f t="shared" si="14"/>
        <v>0.19553072625698301</v>
      </c>
      <c r="AD191" s="20" t="str">
        <f t="shared" si="15"/>
        <v>p</v>
      </c>
      <c r="AE191" s="21" t="str">
        <f t="shared" si="20"/>
        <v>p</v>
      </c>
      <c r="AF191" s="22" t="str">
        <f t="shared" si="16"/>
        <v/>
      </c>
      <c r="AG191" s="19" cm="1">
        <f t="array" ref="AG191">MAX(IF($C191:$AB191&lt;AC191,$C191:$AB191))</f>
        <v>0.108938547486033</v>
      </c>
      <c r="AH191" s="20" t="str">
        <f t="shared" si="17"/>
        <v>a</v>
      </c>
      <c r="AI191" s="21" t="str">
        <f t="shared" si="18"/>
        <v>a</v>
      </c>
      <c r="AJ191" s="22" t="str">
        <f t="shared" si="19"/>
        <v/>
      </c>
    </row>
    <row r="192" spans="1:36" x14ac:dyDescent="0.25">
      <c r="A192" s="2">
        <v>20</v>
      </c>
      <c r="B192" s="2">
        <v>2</v>
      </c>
      <c r="C192" s="2">
        <v>8.1005586592178699E-2</v>
      </c>
      <c r="D192" s="2">
        <v>2.7932960893854702E-3</v>
      </c>
      <c r="E192" s="2">
        <v>1.11731843575419E-2</v>
      </c>
      <c r="F192" s="2">
        <v>8.3798882681564192E-3</v>
      </c>
      <c r="G192" s="2">
        <v>6.9832402234636798E-2</v>
      </c>
      <c r="H192" s="2">
        <v>0</v>
      </c>
      <c r="I192" s="2">
        <v>0</v>
      </c>
      <c r="J192" s="2">
        <v>8.9385474860335198E-2</v>
      </c>
      <c r="K192" s="2">
        <v>5.0279329608938501E-2</v>
      </c>
      <c r="L192" s="2">
        <v>0</v>
      </c>
      <c r="M192" s="2">
        <v>0</v>
      </c>
      <c r="N192" s="2">
        <v>6.7039106145251395E-2</v>
      </c>
      <c r="O192" s="2">
        <v>0</v>
      </c>
      <c r="P192" s="2">
        <v>0.17597765363128401</v>
      </c>
      <c r="Q192" s="2">
        <v>0.13128491620111701</v>
      </c>
      <c r="R192" s="2">
        <v>3.0726256983240201E-2</v>
      </c>
      <c r="S192" s="2">
        <v>0</v>
      </c>
      <c r="T192" s="2">
        <v>6.4245810055865896E-2</v>
      </c>
      <c r="U192" s="2">
        <v>6.4245810055865896E-2</v>
      </c>
      <c r="V192" s="2">
        <v>8.3798882681564192E-3</v>
      </c>
      <c r="W192" s="2">
        <v>4.4692737430167599E-2</v>
      </c>
      <c r="X192" s="2">
        <v>3.3519553072625698E-2</v>
      </c>
      <c r="Y192" s="2">
        <v>0</v>
      </c>
      <c r="Z192" s="2">
        <v>2.7932960893854702E-3</v>
      </c>
      <c r="AA192" s="2">
        <v>6.4245810055865896E-2</v>
      </c>
      <c r="AB192" s="2">
        <v>0</v>
      </c>
      <c r="AC192" s="19">
        <f t="shared" si="14"/>
        <v>0.17597765363128401</v>
      </c>
      <c r="AD192" s="20" t="str">
        <f t="shared" si="15"/>
        <v>n</v>
      </c>
      <c r="AE192" s="21" t="str">
        <f t="shared" si="20"/>
        <v>pn</v>
      </c>
      <c r="AF192" s="22" t="str">
        <f t="shared" si="16"/>
        <v/>
      </c>
      <c r="AG192" s="19" cm="1">
        <f t="array" ref="AG192">MAX(IF($C192:$AB192&lt;AC192,$C192:$AB192))</f>
        <v>0.13128491620111701</v>
      </c>
      <c r="AH192" s="20" t="str">
        <f t="shared" si="17"/>
        <v>o</v>
      </c>
      <c r="AI192" s="21" t="str">
        <f t="shared" si="18"/>
        <v>ao</v>
      </c>
      <c r="AJ192" s="22" t="str">
        <f t="shared" si="19"/>
        <v/>
      </c>
    </row>
    <row r="193" spans="1:36" x14ac:dyDescent="0.25">
      <c r="A193" s="2">
        <v>20</v>
      </c>
      <c r="B193" s="2">
        <v>3</v>
      </c>
      <c r="C193" s="2">
        <v>2.23463687150838E-2</v>
      </c>
      <c r="D193" s="2">
        <v>1.3966480446927301E-2</v>
      </c>
      <c r="E193" s="2">
        <v>6.7039106145251395E-2</v>
      </c>
      <c r="F193" s="2">
        <v>3.0726256983240201E-2</v>
      </c>
      <c r="G193" s="2">
        <v>0.220670391061452</v>
      </c>
      <c r="H193" s="2">
        <v>0</v>
      </c>
      <c r="I193" s="2">
        <v>1.3966480446927301E-2</v>
      </c>
      <c r="J193" s="2">
        <v>1.3966480446927301E-2</v>
      </c>
      <c r="K193" s="2">
        <v>3.3519553072625698E-2</v>
      </c>
      <c r="L193" s="2">
        <v>0</v>
      </c>
      <c r="M193" s="2">
        <v>0</v>
      </c>
      <c r="N193" s="2">
        <v>4.18994413407821E-2</v>
      </c>
      <c r="O193" s="2">
        <v>2.23463687150838E-2</v>
      </c>
      <c r="P193" s="2">
        <v>0.108938547486033</v>
      </c>
      <c r="Q193" s="2">
        <v>6.7039106145251395E-2</v>
      </c>
      <c r="R193" s="2">
        <v>8.6592178770949699E-2</v>
      </c>
      <c r="S193" s="2">
        <v>0</v>
      </c>
      <c r="T193" s="2">
        <v>3.3519553072625698E-2</v>
      </c>
      <c r="U193" s="2">
        <v>2.7932960893854698E-2</v>
      </c>
      <c r="V193" s="2">
        <v>0.13966480446927301</v>
      </c>
      <c r="W193" s="2">
        <v>3.3519553072625698E-2</v>
      </c>
      <c r="X193" s="2">
        <v>0</v>
      </c>
      <c r="Y193" s="2">
        <v>0</v>
      </c>
      <c r="Z193" s="2">
        <v>2.7932960893854702E-3</v>
      </c>
      <c r="AA193" s="2">
        <v>1.95530726256983E-2</v>
      </c>
      <c r="AB193" s="2">
        <v>0</v>
      </c>
      <c r="AC193" s="19">
        <f t="shared" si="14"/>
        <v>0.220670391061452</v>
      </c>
      <c r="AD193" s="20" t="str">
        <f t="shared" si="15"/>
        <v>e</v>
      </c>
      <c r="AE193" s="21" t="str">
        <f t="shared" si="20"/>
        <v>pne</v>
      </c>
      <c r="AF193" s="22" t="str">
        <f t="shared" si="16"/>
        <v/>
      </c>
      <c r="AG193" s="19" cm="1">
        <f t="array" ref="AG193">MAX(IF($C193:$AB193&lt;AC193,$C193:$AB193))</f>
        <v>0.13966480446927301</v>
      </c>
      <c r="AH193" s="20" t="str">
        <f t="shared" si="17"/>
        <v>t</v>
      </c>
      <c r="AI193" s="21" t="str">
        <f t="shared" si="18"/>
        <v>aot</v>
      </c>
      <c r="AJ193" s="22" t="str">
        <f t="shared" si="19"/>
        <v/>
      </c>
    </row>
    <row r="194" spans="1:36" x14ac:dyDescent="0.25">
      <c r="A194" s="2">
        <v>20</v>
      </c>
      <c r="B194" s="2">
        <v>4</v>
      </c>
      <c r="C194" s="2">
        <v>5.0279329608938501E-2</v>
      </c>
      <c r="D194" s="2">
        <v>8.3798882681564192E-3</v>
      </c>
      <c r="E194" s="2">
        <v>0.100558659217877</v>
      </c>
      <c r="F194" s="2">
        <v>2.5139664804469199E-2</v>
      </c>
      <c r="G194" s="2">
        <v>0.14525139664804401</v>
      </c>
      <c r="H194" s="2">
        <v>0</v>
      </c>
      <c r="I194" s="2">
        <v>0</v>
      </c>
      <c r="J194" s="2">
        <v>4.7486033519553002E-2</v>
      </c>
      <c r="K194" s="2">
        <v>0.114525139664804</v>
      </c>
      <c r="L194" s="2">
        <v>2.7932960893854702E-3</v>
      </c>
      <c r="M194" s="2">
        <v>0</v>
      </c>
      <c r="N194" s="2">
        <v>1.95530726256983E-2</v>
      </c>
      <c r="O194" s="2">
        <v>2.23463687150838E-2</v>
      </c>
      <c r="P194" s="2">
        <v>6.7039106145251395E-2</v>
      </c>
      <c r="Q194" s="2">
        <v>4.4692737430167599E-2</v>
      </c>
      <c r="R194" s="2">
        <v>2.5139664804469199E-2</v>
      </c>
      <c r="S194" s="2">
        <v>0</v>
      </c>
      <c r="T194" s="2">
        <v>0.12849162011173099</v>
      </c>
      <c r="U194" s="2">
        <v>3.0726256983240201E-2</v>
      </c>
      <c r="V194" s="2">
        <v>8.3798882681564199E-2</v>
      </c>
      <c r="W194" s="2">
        <v>6.4245810055865896E-2</v>
      </c>
      <c r="X194" s="2">
        <v>5.5865921787709499E-3</v>
      </c>
      <c r="Y194" s="2">
        <v>0</v>
      </c>
      <c r="Z194" s="2">
        <v>2.7932960893854702E-3</v>
      </c>
      <c r="AA194" s="2">
        <v>5.5865921787709499E-3</v>
      </c>
      <c r="AB194" s="2">
        <v>5.5865921787709499E-3</v>
      </c>
      <c r="AC194" s="19">
        <f t="shared" si="14"/>
        <v>0.14525139664804401</v>
      </c>
      <c r="AD194" s="20" t="str">
        <f t="shared" si="15"/>
        <v>e</v>
      </c>
      <c r="AE194" s="21" t="str">
        <f t="shared" si="20"/>
        <v>pnee</v>
      </c>
      <c r="AF194" s="22" t="str">
        <f t="shared" si="16"/>
        <v/>
      </c>
      <c r="AG194" s="19" cm="1">
        <f t="array" ref="AG194">MAX(IF($C194:$AB194&lt;AC194,$C194:$AB194))</f>
        <v>0.12849162011173099</v>
      </c>
      <c r="AH194" s="20" t="str">
        <f t="shared" si="17"/>
        <v>r</v>
      </c>
      <c r="AI194" s="21" t="str">
        <f t="shared" si="18"/>
        <v>aotr</v>
      </c>
      <c r="AJ194" s="22" t="str">
        <f t="shared" si="19"/>
        <v/>
      </c>
    </row>
    <row r="195" spans="1:36" x14ac:dyDescent="0.25">
      <c r="A195" s="2">
        <v>20</v>
      </c>
      <c r="B195" s="2">
        <v>5</v>
      </c>
      <c r="C195" s="2">
        <v>6.9832402234636798E-2</v>
      </c>
      <c r="D195" s="2">
        <v>1.3966480446927301E-2</v>
      </c>
      <c r="E195" s="2">
        <v>3.63128491620111E-2</v>
      </c>
      <c r="F195" s="2">
        <v>6.7039106145251395E-2</v>
      </c>
      <c r="G195" s="2">
        <v>9.4972067039106101E-2</v>
      </c>
      <c r="H195" s="2">
        <v>0</v>
      </c>
      <c r="I195" s="2">
        <v>5.5865921787709499E-3</v>
      </c>
      <c r="J195" s="2">
        <v>3.63128491620111E-2</v>
      </c>
      <c r="K195" s="2">
        <v>6.7039106145251395E-2</v>
      </c>
      <c r="L195" s="2">
        <v>0</v>
      </c>
      <c r="M195" s="2">
        <v>0</v>
      </c>
      <c r="N195" s="2">
        <v>8.3798882681564192E-3</v>
      </c>
      <c r="O195" s="2">
        <v>2.7932960893854698E-2</v>
      </c>
      <c r="P195" s="2">
        <v>5.3072625698324001E-2</v>
      </c>
      <c r="Q195" s="2">
        <v>0.17039106145251301</v>
      </c>
      <c r="R195" s="2">
        <v>3.3519553072625698E-2</v>
      </c>
      <c r="S195" s="2">
        <v>0</v>
      </c>
      <c r="T195" s="2">
        <v>0.14525139664804401</v>
      </c>
      <c r="U195" s="2">
        <v>3.0726256983240201E-2</v>
      </c>
      <c r="V195" s="2">
        <v>0.108938547486033</v>
      </c>
      <c r="W195" s="2">
        <v>8.3798882681564192E-3</v>
      </c>
      <c r="X195" s="2">
        <v>2.7932960893854702E-3</v>
      </c>
      <c r="Y195" s="2">
        <v>0</v>
      </c>
      <c r="Z195" s="2">
        <v>2.7932960893854702E-3</v>
      </c>
      <c r="AA195" s="2">
        <v>1.67597765363128E-2</v>
      </c>
      <c r="AB195" s="2">
        <v>0</v>
      </c>
      <c r="AC195" s="19">
        <f t="shared" ref="AC195:AC210" si="21">MAX(C195:AB195)</f>
        <v>0.17039106145251301</v>
      </c>
      <c r="AD195" s="20" t="str">
        <f t="shared" ref="AD195:AD210" si="22">INDEX($C$1:$AB$1,MATCH(AC195,$C195:$AB195,0))</f>
        <v>o</v>
      </c>
      <c r="AE195" s="21" t="str">
        <f t="shared" si="20"/>
        <v>pneeo</v>
      </c>
      <c r="AF195" s="22" t="str">
        <f t="shared" ref="AF195:AF210" si="23">IF($A195&lt;&gt;$A196,AE195,"")</f>
        <v/>
      </c>
      <c r="AG195" s="19" cm="1">
        <f t="array" ref="AG195">MAX(IF($C195:$AB195&lt;AC195,$C195:$AB195))</f>
        <v>0.14525139664804401</v>
      </c>
      <c r="AH195" s="20" t="str">
        <f t="shared" ref="AH195:AH210" si="24">INDEX($C$1:$AB$1,MATCH(AG195,$C195:$AB195,0))</f>
        <v>r</v>
      </c>
      <c r="AI195" s="21" t="str">
        <f t="shared" ref="AI195:AI210" si="25">IF($A195&lt;&gt;$A194,AH195,AI194&amp;AH195)</f>
        <v>aotrr</v>
      </c>
      <c r="AJ195" s="22" t="str">
        <f t="shared" ref="AJ195:AJ210" si="26">IF($A195&lt;&gt;$A196,AI195,"")</f>
        <v/>
      </c>
    </row>
    <row r="196" spans="1:36" x14ac:dyDescent="0.25">
      <c r="A196" s="2">
        <v>20</v>
      </c>
      <c r="B196" s="2">
        <v>6</v>
      </c>
      <c r="C196" s="2">
        <v>5.3072625698324001E-2</v>
      </c>
      <c r="D196" s="2">
        <v>1.11731843575419E-2</v>
      </c>
      <c r="E196" s="2">
        <v>8.6592178770949699E-2</v>
      </c>
      <c r="F196" s="2">
        <v>4.18994413407821E-2</v>
      </c>
      <c r="G196" s="2">
        <v>5.0279329608938501E-2</v>
      </c>
      <c r="H196" s="2">
        <v>2.7932960893854702E-3</v>
      </c>
      <c r="I196" s="2">
        <v>1.3966480446927301E-2</v>
      </c>
      <c r="J196" s="2">
        <v>4.18994413407821E-2</v>
      </c>
      <c r="K196" s="2">
        <v>4.18994413407821E-2</v>
      </c>
      <c r="L196" s="2">
        <v>0</v>
      </c>
      <c r="M196" s="2">
        <v>0</v>
      </c>
      <c r="N196" s="2">
        <v>2.5139664804469199E-2</v>
      </c>
      <c r="O196" s="2">
        <v>3.63128491620111E-2</v>
      </c>
      <c r="P196" s="2">
        <v>9.4972067039106101E-2</v>
      </c>
      <c r="Q196" s="2">
        <v>0.17318435754189901</v>
      </c>
      <c r="R196" s="2">
        <v>6.4245810055865896E-2</v>
      </c>
      <c r="S196" s="2">
        <v>0</v>
      </c>
      <c r="T196" s="2">
        <v>9.77653631284916E-2</v>
      </c>
      <c r="U196" s="2">
        <v>4.4692737430167599E-2</v>
      </c>
      <c r="V196" s="2">
        <v>8.3798882681564199E-2</v>
      </c>
      <c r="W196" s="2">
        <v>1.95530726256983E-2</v>
      </c>
      <c r="X196" s="2">
        <v>0</v>
      </c>
      <c r="Y196" s="2">
        <v>0</v>
      </c>
      <c r="Z196" s="2">
        <v>2.7932960893854702E-3</v>
      </c>
      <c r="AA196" s="2">
        <v>1.3966480446927301E-2</v>
      </c>
      <c r="AB196" s="2">
        <v>0</v>
      </c>
      <c r="AC196" s="19">
        <f t="shared" si="21"/>
        <v>0.17318435754189901</v>
      </c>
      <c r="AD196" s="20" t="str">
        <f t="shared" si="22"/>
        <v>o</v>
      </c>
      <c r="AE196" s="21" t="str">
        <f t="shared" ref="AE196:AE210" si="27">IF(A196&lt;&gt;A195,AD196,AE195&amp;AD196)</f>
        <v>pneeoo</v>
      </c>
      <c r="AF196" s="22" t="str">
        <f t="shared" si="23"/>
        <v/>
      </c>
      <c r="AG196" s="19" cm="1">
        <f t="array" ref="AG196">MAX(IF($C196:$AB196&lt;AC196,$C196:$AB196))</f>
        <v>9.77653631284916E-2</v>
      </c>
      <c r="AH196" s="20" t="str">
        <f t="shared" si="24"/>
        <v>r</v>
      </c>
      <c r="AI196" s="21" t="str">
        <f t="shared" si="25"/>
        <v>aotrrr</v>
      </c>
      <c r="AJ196" s="22" t="str">
        <f t="shared" si="26"/>
        <v/>
      </c>
    </row>
    <row r="197" spans="1:36" x14ac:dyDescent="0.25">
      <c r="A197" s="2">
        <v>20</v>
      </c>
      <c r="B197" s="2">
        <v>7</v>
      </c>
      <c r="C197" s="2">
        <v>7.5418994413407797E-2</v>
      </c>
      <c r="D197" s="2">
        <v>5.5865921787709499E-3</v>
      </c>
      <c r="E197" s="2">
        <v>5.0279329608938501E-2</v>
      </c>
      <c r="F197" s="2">
        <v>1.67597765363128E-2</v>
      </c>
      <c r="G197" s="2">
        <v>9.2178770949720601E-2</v>
      </c>
      <c r="H197" s="2">
        <v>0</v>
      </c>
      <c r="I197" s="2">
        <v>1.11731843575419E-2</v>
      </c>
      <c r="J197" s="2">
        <v>6.1452513966480403E-2</v>
      </c>
      <c r="K197" s="2">
        <v>4.7486033519553002E-2</v>
      </c>
      <c r="L197" s="2">
        <v>0</v>
      </c>
      <c r="M197" s="2">
        <v>0</v>
      </c>
      <c r="N197" s="2">
        <v>4.7486033519553002E-2</v>
      </c>
      <c r="O197" s="2">
        <v>1.3966480446927301E-2</v>
      </c>
      <c r="P197" s="2">
        <v>5.3072625698324001E-2</v>
      </c>
      <c r="Q197" s="2">
        <v>0.17039106145251301</v>
      </c>
      <c r="R197" s="2">
        <v>7.8212290502793297E-2</v>
      </c>
      <c r="S197" s="2">
        <v>0</v>
      </c>
      <c r="T197" s="2">
        <v>0.103351955307262</v>
      </c>
      <c r="U197" s="2">
        <v>4.18994413407821E-2</v>
      </c>
      <c r="V197" s="2">
        <v>5.8659217877094903E-2</v>
      </c>
      <c r="W197" s="2">
        <v>3.91061452513966E-2</v>
      </c>
      <c r="X197" s="2">
        <v>5.5865921787709499E-3</v>
      </c>
      <c r="Y197" s="2">
        <v>0</v>
      </c>
      <c r="Z197" s="2">
        <v>0</v>
      </c>
      <c r="AA197" s="2">
        <v>2.7932960893854698E-2</v>
      </c>
      <c r="AB197" s="2">
        <v>0</v>
      </c>
      <c r="AC197" s="19">
        <f t="shared" si="21"/>
        <v>0.17039106145251301</v>
      </c>
      <c r="AD197" s="20" t="str">
        <f t="shared" si="22"/>
        <v>o</v>
      </c>
      <c r="AE197" s="21" t="str">
        <f t="shared" si="27"/>
        <v>pneeooo</v>
      </c>
      <c r="AF197" s="22" t="str">
        <f t="shared" si="23"/>
        <v/>
      </c>
      <c r="AG197" s="19" cm="1">
        <f t="array" ref="AG197">MAX(IF($C197:$AB197&lt;AC197,$C197:$AB197))</f>
        <v>0.103351955307262</v>
      </c>
      <c r="AH197" s="20" t="str">
        <f t="shared" si="24"/>
        <v>r</v>
      </c>
      <c r="AI197" s="21" t="str">
        <f t="shared" si="25"/>
        <v>aotrrrr</v>
      </c>
      <c r="AJ197" s="22" t="str">
        <f t="shared" si="26"/>
        <v/>
      </c>
    </row>
    <row r="198" spans="1:36" x14ac:dyDescent="0.25">
      <c r="A198" s="2">
        <v>20</v>
      </c>
      <c r="B198" s="2">
        <v>8</v>
      </c>
      <c r="C198" s="2">
        <v>5.0279329608938501E-2</v>
      </c>
      <c r="D198" s="2">
        <v>5.5865921787709499E-3</v>
      </c>
      <c r="E198" s="2">
        <v>5.0279329608938501E-2</v>
      </c>
      <c r="F198" s="2">
        <v>1.67597765363128E-2</v>
      </c>
      <c r="G198" s="2">
        <v>0.103351955307262</v>
      </c>
      <c r="H198" s="2">
        <v>2.5139664804469199E-2</v>
      </c>
      <c r="I198" s="2">
        <v>1.3966480446927301E-2</v>
      </c>
      <c r="J198" s="2">
        <v>4.4692737430167599E-2</v>
      </c>
      <c r="K198" s="2">
        <v>5.0279329608938501E-2</v>
      </c>
      <c r="L198" s="2">
        <v>2.7932960893854702E-3</v>
      </c>
      <c r="M198" s="2">
        <v>0</v>
      </c>
      <c r="N198" s="2">
        <v>6.1452513966480403E-2</v>
      </c>
      <c r="O198" s="2">
        <v>5.5865921787709397E-2</v>
      </c>
      <c r="P198" s="2">
        <v>3.91061452513966E-2</v>
      </c>
      <c r="Q198" s="2">
        <v>0.15083798882681501</v>
      </c>
      <c r="R198" s="2">
        <v>3.91061452513966E-2</v>
      </c>
      <c r="S198" s="2">
        <v>2.7932960893854702E-3</v>
      </c>
      <c r="T198" s="2">
        <v>8.6592178770949699E-2</v>
      </c>
      <c r="U198" s="2">
        <v>8.6592178770949699E-2</v>
      </c>
      <c r="V198" s="2">
        <v>8.1005586592178699E-2</v>
      </c>
      <c r="W198" s="2">
        <v>1.11731843575419E-2</v>
      </c>
      <c r="X198" s="2">
        <v>0</v>
      </c>
      <c r="Y198" s="2">
        <v>0</v>
      </c>
      <c r="Z198" s="2">
        <v>2.7932960893854702E-3</v>
      </c>
      <c r="AA198" s="2">
        <v>1.95530726256983E-2</v>
      </c>
      <c r="AB198" s="2">
        <v>0</v>
      </c>
      <c r="AC198" s="19">
        <f t="shared" si="21"/>
        <v>0.15083798882681501</v>
      </c>
      <c r="AD198" s="20" t="str">
        <f t="shared" si="22"/>
        <v>o</v>
      </c>
      <c r="AE198" s="21" t="str">
        <f t="shared" si="27"/>
        <v>pneeoooo</v>
      </c>
      <c r="AF198" s="22" t="str">
        <f t="shared" si="23"/>
        <v/>
      </c>
      <c r="AG198" s="19" cm="1">
        <f t="array" ref="AG198">MAX(IF($C198:$AB198&lt;AC198,$C198:$AB198))</f>
        <v>0.103351955307262</v>
      </c>
      <c r="AH198" s="20" t="str">
        <f t="shared" si="24"/>
        <v>e</v>
      </c>
      <c r="AI198" s="21" t="str">
        <f t="shared" si="25"/>
        <v>aotrrrre</v>
      </c>
      <c r="AJ198" s="22" t="str">
        <f t="shared" si="26"/>
        <v/>
      </c>
    </row>
    <row r="199" spans="1:36" x14ac:dyDescent="0.25">
      <c r="A199" s="2">
        <v>20</v>
      </c>
      <c r="B199" s="2">
        <v>9</v>
      </c>
      <c r="C199" s="2">
        <v>4.18994413407821E-2</v>
      </c>
      <c r="D199" s="2">
        <v>8.3798882681564192E-3</v>
      </c>
      <c r="E199" s="2">
        <v>3.3519553072625698E-2</v>
      </c>
      <c r="F199" s="2">
        <v>8.3798882681564192E-3</v>
      </c>
      <c r="G199" s="2">
        <v>0.106145251396648</v>
      </c>
      <c r="H199" s="2">
        <v>1.11731843575419E-2</v>
      </c>
      <c r="I199" s="2">
        <v>1.67597765363128E-2</v>
      </c>
      <c r="J199" s="2">
        <v>4.7486033519553002E-2</v>
      </c>
      <c r="K199" s="2">
        <v>9.2178770949720601E-2</v>
      </c>
      <c r="L199" s="2">
        <v>0</v>
      </c>
      <c r="M199" s="2">
        <v>0</v>
      </c>
      <c r="N199" s="2">
        <v>3.91061452513966E-2</v>
      </c>
      <c r="O199" s="2">
        <v>5.3072625698324001E-2</v>
      </c>
      <c r="P199" s="2">
        <v>6.1452513966480403E-2</v>
      </c>
      <c r="Q199" s="2">
        <v>0.13407821229050201</v>
      </c>
      <c r="R199" s="2">
        <v>3.0726256983240201E-2</v>
      </c>
      <c r="S199" s="2">
        <v>5.5865921787709499E-3</v>
      </c>
      <c r="T199" s="2">
        <v>8.3798882681564199E-2</v>
      </c>
      <c r="U199" s="2">
        <v>5.8659217877094903E-2</v>
      </c>
      <c r="V199" s="2">
        <v>9.77653631284916E-2</v>
      </c>
      <c r="W199" s="2">
        <v>2.23463687150838E-2</v>
      </c>
      <c r="X199" s="2">
        <v>1.95530726256983E-2</v>
      </c>
      <c r="Y199" s="2">
        <v>0</v>
      </c>
      <c r="Z199" s="2">
        <v>2.7932960893854702E-3</v>
      </c>
      <c r="AA199" s="2">
        <v>2.5139664804469199E-2</v>
      </c>
      <c r="AB199" s="2">
        <v>0</v>
      </c>
      <c r="AC199" s="19">
        <f t="shared" si="21"/>
        <v>0.13407821229050201</v>
      </c>
      <c r="AD199" s="20" t="str">
        <f t="shared" si="22"/>
        <v>o</v>
      </c>
      <c r="AE199" s="21" t="str">
        <f t="shared" si="27"/>
        <v>pneeooooo</v>
      </c>
      <c r="AF199" s="22" t="str">
        <f t="shared" si="23"/>
        <v/>
      </c>
      <c r="AG199" s="19" cm="1">
        <f t="array" ref="AG199">MAX(IF($C199:$AB199&lt;AC199,$C199:$AB199))</f>
        <v>0.106145251396648</v>
      </c>
      <c r="AH199" s="20" t="str">
        <f t="shared" si="24"/>
        <v>e</v>
      </c>
      <c r="AI199" s="21" t="str">
        <f t="shared" si="25"/>
        <v>aotrrrree</v>
      </c>
      <c r="AJ199" s="22" t="str">
        <f t="shared" si="26"/>
        <v/>
      </c>
    </row>
    <row r="200" spans="1:36" x14ac:dyDescent="0.25">
      <c r="A200" s="2">
        <v>20</v>
      </c>
      <c r="B200" s="2">
        <v>10</v>
      </c>
      <c r="C200" s="2">
        <v>7.5418994413407797E-2</v>
      </c>
      <c r="D200" s="2">
        <v>5.5865921787709499E-3</v>
      </c>
      <c r="E200" s="2">
        <v>5.0279329608938501E-2</v>
      </c>
      <c r="F200" s="2">
        <v>3.91061452513966E-2</v>
      </c>
      <c r="G200" s="2">
        <v>9.2178770949720601E-2</v>
      </c>
      <c r="H200" s="2">
        <v>0</v>
      </c>
      <c r="I200" s="2">
        <v>4.4692737430167599E-2</v>
      </c>
      <c r="J200" s="2">
        <v>5.3072625698324001E-2</v>
      </c>
      <c r="K200" s="2">
        <v>7.5418994413407797E-2</v>
      </c>
      <c r="L200" s="2">
        <v>8.3798882681564192E-3</v>
      </c>
      <c r="M200" s="2">
        <v>0</v>
      </c>
      <c r="N200" s="2">
        <v>4.18994413407821E-2</v>
      </c>
      <c r="O200" s="2">
        <v>5.5865921787709397E-2</v>
      </c>
      <c r="P200" s="2">
        <v>5.5865921787709397E-2</v>
      </c>
      <c r="Q200" s="2">
        <v>0.103351955307262</v>
      </c>
      <c r="R200" s="2">
        <v>4.18994413407821E-2</v>
      </c>
      <c r="S200" s="2">
        <v>2.7932960893854702E-3</v>
      </c>
      <c r="T200" s="2">
        <v>6.1452513966480403E-2</v>
      </c>
      <c r="U200" s="2">
        <v>3.91061452513966E-2</v>
      </c>
      <c r="V200" s="2">
        <v>8.6592178770949699E-2</v>
      </c>
      <c r="W200" s="2">
        <v>3.91061452513966E-2</v>
      </c>
      <c r="X200" s="2">
        <v>8.3798882681564192E-3</v>
      </c>
      <c r="Y200" s="2">
        <v>0</v>
      </c>
      <c r="Z200" s="2">
        <v>0</v>
      </c>
      <c r="AA200" s="2">
        <v>1.95530726256983E-2</v>
      </c>
      <c r="AB200" s="2">
        <v>0</v>
      </c>
      <c r="AC200" s="19">
        <f t="shared" si="21"/>
        <v>0.103351955307262</v>
      </c>
      <c r="AD200" s="20" t="str">
        <f t="shared" si="22"/>
        <v>o</v>
      </c>
      <c r="AE200" s="21" t="str">
        <f t="shared" si="27"/>
        <v>pneeoooooo</v>
      </c>
      <c r="AF200" s="22" t="str">
        <f t="shared" si="23"/>
        <v/>
      </c>
      <c r="AG200" s="19" cm="1">
        <f t="array" ref="AG200">MAX(IF($C200:$AB200&lt;AC200,$C200:$AB200))</f>
        <v>9.2178770949720601E-2</v>
      </c>
      <c r="AH200" s="20" t="str">
        <f t="shared" si="24"/>
        <v>e</v>
      </c>
      <c r="AI200" s="21" t="str">
        <f t="shared" si="25"/>
        <v>aotrrrreee</v>
      </c>
      <c r="AJ200" s="22" t="str">
        <f t="shared" si="26"/>
        <v/>
      </c>
    </row>
    <row r="201" spans="1:36" x14ac:dyDescent="0.25">
      <c r="A201" s="2">
        <v>20</v>
      </c>
      <c r="B201" s="2">
        <v>11</v>
      </c>
      <c r="C201" s="2">
        <v>6.1452513966480403E-2</v>
      </c>
      <c r="D201" s="2">
        <v>5.5865921787709499E-3</v>
      </c>
      <c r="E201" s="2">
        <v>3.91061452513966E-2</v>
      </c>
      <c r="F201" s="2">
        <v>1.3966480446927301E-2</v>
      </c>
      <c r="G201" s="2">
        <v>0.12290502793296</v>
      </c>
      <c r="H201" s="2">
        <v>5.5865921787709499E-3</v>
      </c>
      <c r="I201" s="2">
        <v>8.3798882681564192E-3</v>
      </c>
      <c r="J201" s="2">
        <v>4.7486033519553002E-2</v>
      </c>
      <c r="K201" s="2">
        <v>9.77653631284916E-2</v>
      </c>
      <c r="L201" s="2">
        <v>0</v>
      </c>
      <c r="M201" s="2">
        <v>0</v>
      </c>
      <c r="N201" s="2">
        <v>5.8659217877094903E-2</v>
      </c>
      <c r="O201" s="2">
        <v>3.3519553072625698E-2</v>
      </c>
      <c r="P201" s="2">
        <v>8.6592178770949699E-2</v>
      </c>
      <c r="Q201" s="2">
        <v>9.77653631284916E-2</v>
      </c>
      <c r="R201" s="2">
        <v>4.18994413407821E-2</v>
      </c>
      <c r="S201" s="2">
        <v>0</v>
      </c>
      <c r="T201" s="2">
        <v>0.108938547486033</v>
      </c>
      <c r="U201" s="2">
        <v>4.4692737430167599E-2</v>
      </c>
      <c r="V201" s="2">
        <v>5.8659217877094903E-2</v>
      </c>
      <c r="W201" s="2">
        <v>3.3519553072625698E-2</v>
      </c>
      <c r="X201" s="2">
        <v>8.3798882681564192E-3</v>
      </c>
      <c r="Y201" s="2">
        <v>0</v>
      </c>
      <c r="Z201" s="2">
        <v>0</v>
      </c>
      <c r="AA201" s="2">
        <v>2.5139664804469199E-2</v>
      </c>
      <c r="AB201" s="2">
        <v>0</v>
      </c>
      <c r="AC201" s="19">
        <f t="shared" si="21"/>
        <v>0.12290502793296</v>
      </c>
      <c r="AD201" s="20" t="str">
        <f t="shared" si="22"/>
        <v>e</v>
      </c>
      <c r="AE201" s="21" t="str">
        <f t="shared" si="27"/>
        <v>pneeooooooe</v>
      </c>
      <c r="AF201" s="22" t="str">
        <f t="shared" si="23"/>
        <v/>
      </c>
      <c r="AG201" s="19" cm="1">
        <f t="array" ref="AG201">MAX(IF($C201:$AB201&lt;AC201,$C201:$AB201))</f>
        <v>0.108938547486033</v>
      </c>
      <c r="AH201" s="20" t="str">
        <f t="shared" si="24"/>
        <v>r</v>
      </c>
      <c r="AI201" s="21" t="str">
        <f t="shared" si="25"/>
        <v>aotrrrreeer</v>
      </c>
      <c r="AJ201" s="22" t="str">
        <f t="shared" si="26"/>
        <v/>
      </c>
    </row>
    <row r="202" spans="1:36" x14ac:dyDescent="0.25">
      <c r="A202" s="2">
        <v>20</v>
      </c>
      <c r="B202" s="2">
        <v>12</v>
      </c>
      <c r="C202" s="2">
        <v>0.14804469273743001</v>
      </c>
      <c r="D202" s="2">
        <v>5.5865921787709499E-3</v>
      </c>
      <c r="E202" s="2">
        <v>5.3072625698324001E-2</v>
      </c>
      <c r="F202" s="2">
        <v>1.3966480446927301E-2</v>
      </c>
      <c r="G202" s="2">
        <v>6.9832402234636798E-2</v>
      </c>
      <c r="H202" s="2">
        <v>2.7932960893854702E-3</v>
      </c>
      <c r="I202" s="2">
        <v>1.11731843575419E-2</v>
      </c>
      <c r="J202" s="2">
        <v>2.5139664804469199E-2</v>
      </c>
      <c r="K202" s="2">
        <v>0.108938547486033</v>
      </c>
      <c r="L202" s="2">
        <v>0</v>
      </c>
      <c r="M202" s="2">
        <v>0</v>
      </c>
      <c r="N202" s="2">
        <v>7.2625698324022298E-2</v>
      </c>
      <c r="O202" s="2">
        <v>2.5139664804469199E-2</v>
      </c>
      <c r="P202" s="2">
        <v>8.9385474860335198E-2</v>
      </c>
      <c r="Q202" s="2">
        <v>9.77653631284916E-2</v>
      </c>
      <c r="R202" s="2">
        <v>2.7932960893854698E-2</v>
      </c>
      <c r="S202" s="2">
        <v>0</v>
      </c>
      <c r="T202" s="2">
        <v>8.6592178770949699E-2</v>
      </c>
      <c r="U202" s="2">
        <v>3.3519553072625698E-2</v>
      </c>
      <c r="V202" s="2">
        <v>0.103351955307262</v>
      </c>
      <c r="W202" s="2">
        <v>1.3966480446927301E-2</v>
      </c>
      <c r="X202" s="2">
        <v>2.7932960893854702E-3</v>
      </c>
      <c r="Y202" s="2">
        <v>0</v>
      </c>
      <c r="Z202" s="2">
        <v>0</v>
      </c>
      <c r="AA202" s="2">
        <v>8.3798882681564192E-3</v>
      </c>
      <c r="AB202" s="2">
        <v>0</v>
      </c>
      <c r="AC202" s="19">
        <f t="shared" si="21"/>
        <v>0.14804469273743001</v>
      </c>
      <c r="AD202" s="20" t="str">
        <f t="shared" si="22"/>
        <v>a</v>
      </c>
      <c r="AE202" s="21" t="str">
        <f t="shared" si="27"/>
        <v>pneeooooooea</v>
      </c>
      <c r="AF202" s="22" t="str">
        <f t="shared" si="23"/>
        <v/>
      </c>
      <c r="AG202" s="19" cm="1">
        <f t="array" ref="AG202">MAX(IF($C202:$AB202&lt;AC202,$C202:$AB202))</f>
        <v>0.108938547486033</v>
      </c>
      <c r="AH202" s="20" t="str">
        <f t="shared" si="24"/>
        <v>i</v>
      </c>
      <c r="AI202" s="21" t="str">
        <f t="shared" si="25"/>
        <v>aotrrrreeeri</v>
      </c>
      <c r="AJ202" s="22" t="str">
        <f t="shared" si="26"/>
        <v/>
      </c>
    </row>
    <row r="203" spans="1:36" x14ac:dyDescent="0.25">
      <c r="A203" s="2">
        <v>20</v>
      </c>
      <c r="B203" s="2">
        <v>13</v>
      </c>
      <c r="C203" s="2">
        <v>0.12569832402234599</v>
      </c>
      <c r="D203" s="2">
        <v>2.7932960893854702E-3</v>
      </c>
      <c r="E203" s="2">
        <v>4.7486033519553002E-2</v>
      </c>
      <c r="F203" s="2">
        <v>1.3966480446927301E-2</v>
      </c>
      <c r="G203" s="2">
        <v>7.5418994413407797E-2</v>
      </c>
      <c r="H203" s="2">
        <v>0</v>
      </c>
      <c r="I203" s="2">
        <v>1.11731843575419E-2</v>
      </c>
      <c r="J203" s="2">
        <v>3.0726256983240201E-2</v>
      </c>
      <c r="K203" s="2">
        <v>9.2178770949720601E-2</v>
      </c>
      <c r="L203" s="2">
        <v>2.7932960893854702E-3</v>
      </c>
      <c r="M203" s="2">
        <v>0</v>
      </c>
      <c r="N203" s="2">
        <v>5.0279329608938501E-2</v>
      </c>
      <c r="O203" s="2">
        <v>2.7932960893854698E-2</v>
      </c>
      <c r="P203" s="2">
        <v>4.7486033519553002E-2</v>
      </c>
      <c r="Q203" s="2">
        <v>0.114525139664804</v>
      </c>
      <c r="R203" s="2">
        <v>4.4692737430167599E-2</v>
      </c>
      <c r="S203" s="2">
        <v>0</v>
      </c>
      <c r="T203" s="2">
        <v>5.3072625698324001E-2</v>
      </c>
      <c r="U203" s="2">
        <v>8.3798882681564199E-2</v>
      </c>
      <c r="V203" s="2">
        <v>0.12569832402234599</v>
      </c>
      <c r="W203" s="2">
        <v>3.63128491620111E-2</v>
      </c>
      <c r="X203" s="2">
        <v>8.3798882681564192E-3</v>
      </c>
      <c r="Y203" s="2">
        <v>0</v>
      </c>
      <c r="Z203" s="2">
        <v>2.7932960893854702E-3</v>
      </c>
      <c r="AA203" s="2">
        <v>2.7932960893854702E-3</v>
      </c>
      <c r="AB203" s="2">
        <v>0</v>
      </c>
      <c r="AC203" s="19">
        <f t="shared" si="21"/>
        <v>0.12569832402234599</v>
      </c>
      <c r="AD203" s="20" t="str">
        <f t="shared" si="22"/>
        <v>a</v>
      </c>
      <c r="AE203" s="21" t="str">
        <f t="shared" si="27"/>
        <v>pneeooooooeaa</v>
      </c>
      <c r="AF203" s="22" t="str">
        <f t="shared" si="23"/>
        <v/>
      </c>
      <c r="AG203" s="19" cm="1">
        <f t="array" ref="AG203">MAX(IF($C203:$AB203&lt;AC203,$C203:$AB203))</f>
        <v>0.114525139664804</v>
      </c>
      <c r="AH203" s="20" t="str">
        <f t="shared" si="24"/>
        <v>o</v>
      </c>
      <c r="AI203" s="21" t="str">
        <f t="shared" si="25"/>
        <v>aotrrrreeerio</v>
      </c>
      <c r="AJ203" s="22" t="str">
        <f t="shared" si="26"/>
        <v/>
      </c>
    </row>
    <row r="204" spans="1:36" x14ac:dyDescent="0.25">
      <c r="A204" s="2">
        <v>20</v>
      </c>
      <c r="B204" s="2">
        <v>14</v>
      </c>
      <c r="C204" s="2">
        <v>6.7039106145251395E-2</v>
      </c>
      <c r="D204" s="2">
        <v>4.7486033519553002E-2</v>
      </c>
      <c r="E204" s="2">
        <v>3.0726256983240201E-2</v>
      </c>
      <c r="F204" s="2">
        <v>1.3966480446927301E-2</v>
      </c>
      <c r="G204" s="2">
        <v>4.18994413407821E-2</v>
      </c>
      <c r="H204" s="2">
        <v>2.7932960893854702E-3</v>
      </c>
      <c r="I204" s="2">
        <v>5.8659217877094903E-2</v>
      </c>
      <c r="J204" s="2">
        <v>4.18994413407821E-2</v>
      </c>
      <c r="K204" s="2">
        <v>0.17318435754189901</v>
      </c>
      <c r="L204" s="2">
        <v>0</v>
      </c>
      <c r="M204" s="2">
        <v>0</v>
      </c>
      <c r="N204" s="2">
        <v>6.4245810055865896E-2</v>
      </c>
      <c r="O204" s="2">
        <v>1.67597765363128E-2</v>
      </c>
      <c r="P204" s="2">
        <v>4.7486033519553002E-2</v>
      </c>
      <c r="Q204" s="2">
        <v>7.5418994413407797E-2</v>
      </c>
      <c r="R204" s="2">
        <v>1.3966480446927301E-2</v>
      </c>
      <c r="S204" s="2">
        <v>2.7932960893854702E-3</v>
      </c>
      <c r="T204" s="2">
        <v>7.2625698324022298E-2</v>
      </c>
      <c r="U204" s="2">
        <v>2.5139664804469199E-2</v>
      </c>
      <c r="V204" s="2">
        <v>0.16480446927374301</v>
      </c>
      <c r="W204" s="2">
        <v>2.23463687150838E-2</v>
      </c>
      <c r="X204" s="2">
        <v>0</v>
      </c>
      <c r="Y204" s="2">
        <v>0</v>
      </c>
      <c r="Z204" s="2">
        <v>0</v>
      </c>
      <c r="AA204" s="2">
        <v>1.3966480446927301E-2</v>
      </c>
      <c r="AB204" s="2">
        <v>2.7932960893854702E-3</v>
      </c>
      <c r="AC204" s="19">
        <f t="shared" si="21"/>
        <v>0.17318435754189901</v>
      </c>
      <c r="AD204" s="20" t="str">
        <f t="shared" si="22"/>
        <v>i</v>
      </c>
      <c r="AE204" s="21" t="str">
        <f t="shared" si="27"/>
        <v>pneeooooooeaai</v>
      </c>
      <c r="AF204" s="22" t="str">
        <f t="shared" si="23"/>
        <v/>
      </c>
      <c r="AG204" s="19" cm="1">
        <f t="array" ref="AG204">MAX(IF($C204:$AB204&lt;AC204,$C204:$AB204))</f>
        <v>0.16480446927374301</v>
      </c>
      <c r="AH204" s="20" t="str">
        <f t="shared" si="24"/>
        <v>t</v>
      </c>
      <c r="AI204" s="21" t="str">
        <f t="shared" si="25"/>
        <v>aotrrrreeeriot</v>
      </c>
      <c r="AJ204" s="22" t="str">
        <f t="shared" si="26"/>
        <v/>
      </c>
    </row>
    <row r="205" spans="1:36" x14ac:dyDescent="0.25">
      <c r="A205" s="2">
        <v>20</v>
      </c>
      <c r="B205" s="2">
        <v>15</v>
      </c>
      <c r="C205" s="2">
        <v>5.8659217877094903E-2</v>
      </c>
      <c r="D205" s="2">
        <v>8.3798882681564192E-3</v>
      </c>
      <c r="E205" s="2">
        <v>1.95530726256983E-2</v>
      </c>
      <c r="F205" s="2">
        <v>1.95530726256983E-2</v>
      </c>
      <c r="G205" s="2">
        <v>4.18994413407821E-2</v>
      </c>
      <c r="H205" s="2">
        <v>0</v>
      </c>
      <c r="I205" s="2">
        <v>2.7932960893854698E-2</v>
      </c>
      <c r="J205" s="2">
        <v>1.11731843575419E-2</v>
      </c>
      <c r="K205" s="2">
        <v>0.229050279329608</v>
      </c>
      <c r="L205" s="2">
        <v>0</v>
      </c>
      <c r="M205" s="2">
        <v>0</v>
      </c>
      <c r="N205" s="2">
        <v>7.8212290502793297E-2</v>
      </c>
      <c r="O205" s="2">
        <v>8.3798882681564192E-3</v>
      </c>
      <c r="P205" s="2">
        <v>4.7486033519553002E-2</v>
      </c>
      <c r="Q205" s="2">
        <v>0.117318435754189</v>
      </c>
      <c r="R205" s="2">
        <v>3.3519553072625698E-2</v>
      </c>
      <c r="S205" s="2">
        <v>0</v>
      </c>
      <c r="T205" s="2">
        <v>5.8659217877094903E-2</v>
      </c>
      <c r="U205" s="2">
        <v>2.5139664804469199E-2</v>
      </c>
      <c r="V205" s="2">
        <v>6.9832402234636798E-2</v>
      </c>
      <c r="W205" s="2">
        <v>2.23463687150838E-2</v>
      </c>
      <c r="X205" s="2">
        <v>5.8659217877094903E-2</v>
      </c>
      <c r="Y205" s="2">
        <v>0</v>
      </c>
      <c r="Z205" s="2">
        <v>2.7932960893854702E-3</v>
      </c>
      <c r="AA205" s="2">
        <v>1.11731843575419E-2</v>
      </c>
      <c r="AB205" s="2">
        <v>5.0279329608938501E-2</v>
      </c>
      <c r="AC205" s="19">
        <f t="shared" si="21"/>
        <v>0.229050279329608</v>
      </c>
      <c r="AD205" s="20" t="str">
        <f t="shared" si="22"/>
        <v>i</v>
      </c>
      <c r="AE205" s="21" t="str">
        <f t="shared" si="27"/>
        <v>pneeooooooeaaii</v>
      </c>
      <c r="AF205" s="22" t="str">
        <f t="shared" si="23"/>
        <v/>
      </c>
      <c r="AG205" s="19" cm="1">
        <f t="array" ref="AG205">MAX(IF($C205:$AB205&lt;AC205,$C205:$AB205))</f>
        <v>0.117318435754189</v>
      </c>
      <c r="AH205" s="20" t="str">
        <f t="shared" si="24"/>
        <v>o</v>
      </c>
      <c r="AI205" s="21" t="str">
        <f t="shared" si="25"/>
        <v>aotrrrreeerioto</v>
      </c>
      <c r="AJ205" s="22" t="str">
        <f t="shared" si="26"/>
        <v/>
      </c>
    </row>
    <row r="206" spans="1:36" x14ac:dyDescent="0.25">
      <c r="A206" s="2">
        <v>20</v>
      </c>
      <c r="B206" s="2">
        <v>16</v>
      </c>
      <c r="C206" s="2">
        <v>0.17877094972067001</v>
      </c>
      <c r="D206" s="2">
        <v>8.3798882681564192E-3</v>
      </c>
      <c r="E206" s="2">
        <v>0.19273743016759701</v>
      </c>
      <c r="F206" s="2">
        <v>5.5865921787709499E-3</v>
      </c>
      <c r="G206" s="2">
        <v>0.13966480446927301</v>
      </c>
      <c r="H206" s="2">
        <v>0</v>
      </c>
      <c r="I206" s="2">
        <v>5.5865921787709397E-2</v>
      </c>
      <c r="J206" s="2">
        <v>5.0279329608938501E-2</v>
      </c>
      <c r="K206" s="2">
        <v>5.8659217877094903E-2</v>
      </c>
      <c r="L206" s="2">
        <v>0</v>
      </c>
      <c r="M206" s="2">
        <v>0</v>
      </c>
      <c r="N206" s="2">
        <v>3.91061452513966E-2</v>
      </c>
      <c r="O206" s="2">
        <v>1.67597765363128E-2</v>
      </c>
      <c r="P206" s="2">
        <v>3.3519553072625698E-2</v>
      </c>
      <c r="Q206" s="2">
        <v>6.4245810055865896E-2</v>
      </c>
      <c r="R206" s="2">
        <v>1.11731843575419E-2</v>
      </c>
      <c r="S206" s="2">
        <v>0</v>
      </c>
      <c r="T206" s="2">
        <v>5.5865921787709397E-2</v>
      </c>
      <c r="U206" s="2">
        <v>4.18994413407821E-2</v>
      </c>
      <c r="V206" s="2">
        <v>2.7932960893854698E-2</v>
      </c>
      <c r="W206" s="2">
        <v>1.3966480446927301E-2</v>
      </c>
      <c r="X206" s="2">
        <v>5.5865921787709499E-3</v>
      </c>
      <c r="Y206" s="2">
        <v>0</v>
      </c>
      <c r="Z206" s="2">
        <v>0</v>
      </c>
      <c r="AA206" s="2">
        <v>0</v>
      </c>
      <c r="AB206" s="2">
        <v>0</v>
      </c>
      <c r="AC206" s="19">
        <f t="shared" si="21"/>
        <v>0.19273743016759701</v>
      </c>
      <c r="AD206" s="20" t="str">
        <f t="shared" si="22"/>
        <v>c</v>
      </c>
      <c r="AE206" s="21" t="str">
        <f t="shared" si="27"/>
        <v>pneeooooooeaaiic</v>
      </c>
      <c r="AF206" s="22" t="str">
        <f t="shared" si="23"/>
        <v/>
      </c>
      <c r="AG206" s="19" cm="1">
        <f t="array" ref="AG206">MAX(IF($C206:$AB206&lt;AC206,$C206:$AB206))</f>
        <v>0.17877094972067001</v>
      </c>
      <c r="AH206" s="20" t="str">
        <f t="shared" si="24"/>
        <v>a</v>
      </c>
      <c r="AI206" s="21" t="str">
        <f t="shared" si="25"/>
        <v>aotrrrreeeriotoa</v>
      </c>
      <c r="AJ206" s="22" t="str">
        <f t="shared" si="26"/>
        <v/>
      </c>
    </row>
    <row r="207" spans="1:36" x14ac:dyDescent="0.25">
      <c r="A207" s="2">
        <v>20</v>
      </c>
      <c r="B207" s="2">
        <v>17</v>
      </c>
      <c r="C207" s="2">
        <v>0.220670391061452</v>
      </c>
      <c r="D207" s="2">
        <v>0</v>
      </c>
      <c r="E207" s="2">
        <v>1.3966480446927301E-2</v>
      </c>
      <c r="F207" s="2">
        <v>8.3798882681564192E-3</v>
      </c>
      <c r="G207" s="2">
        <v>4.18994413407821E-2</v>
      </c>
      <c r="H207" s="2">
        <v>2.7932960893854702E-3</v>
      </c>
      <c r="I207" s="2">
        <v>1.11731843575419E-2</v>
      </c>
      <c r="J207" s="2">
        <v>1.67597765363128E-2</v>
      </c>
      <c r="K207" s="2">
        <v>0.12849162011173099</v>
      </c>
      <c r="L207" s="2">
        <v>0</v>
      </c>
      <c r="M207" s="2">
        <v>0</v>
      </c>
      <c r="N207" s="2">
        <v>6.4245810055865896E-2</v>
      </c>
      <c r="O207" s="2">
        <v>2.5139664804469199E-2</v>
      </c>
      <c r="P207" s="2">
        <v>0.18994413407821201</v>
      </c>
      <c r="Q207" s="2">
        <v>3.0726256983240201E-2</v>
      </c>
      <c r="R207" s="2">
        <v>1.95530726256983E-2</v>
      </c>
      <c r="S207" s="2">
        <v>0</v>
      </c>
      <c r="T207" s="2">
        <v>3.0726256983240201E-2</v>
      </c>
      <c r="U207" s="2">
        <v>1.67597765363128E-2</v>
      </c>
      <c r="V207" s="2">
        <v>0.14245810055865901</v>
      </c>
      <c r="W207" s="2">
        <v>1.95530726256983E-2</v>
      </c>
      <c r="X207" s="2">
        <v>1.11731843575419E-2</v>
      </c>
      <c r="Y207" s="2">
        <v>0</v>
      </c>
      <c r="Z207" s="2">
        <v>0</v>
      </c>
      <c r="AA207" s="2">
        <v>2.7932960893854702E-3</v>
      </c>
      <c r="AB207" s="2">
        <v>2.7932960893854702E-3</v>
      </c>
      <c r="AC207" s="19">
        <f t="shared" si="21"/>
        <v>0.220670391061452</v>
      </c>
      <c r="AD207" s="20" t="str">
        <f t="shared" si="22"/>
        <v>a</v>
      </c>
      <c r="AE207" s="21" t="str">
        <f t="shared" si="27"/>
        <v>pneeooooooeaaiica</v>
      </c>
      <c r="AF207" s="22" t="str">
        <f t="shared" si="23"/>
        <v/>
      </c>
      <c r="AG207" s="19" cm="1">
        <f t="array" ref="AG207">MAX(IF($C207:$AB207&lt;AC207,$C207:$AB207))</f>
        <v>0.18994413407821201</v>
      </c>
      <c r="AH207" s="20" t="str">
        <f t="shared" si="24"/>
        <v>n</v>
      </c>
      <c r="AI207" s="21" t="str">
        <f t="shared" si="25"/>
        <v>aotrrrreeeriotoan</v>
      </c>
      <c r="AJ207" s="22" t="str">
        <f t="shared" si="26"/>
        <v/>
      </c>
    </row>
    <row r="208" spans="1:36" x14ac:dyDescent="0.25">
      <c r="A208" s="2">
        <v>20</v>
      </c>
      <c r="B208" s="2">
        <v>18</v>
      </c>
      <c r="C208" s="2">
        <v>3.0726256983240201E-2</v>
      </c>
      <c r="D208" s="2">
        <v>0</v>
      </c>
      <c r="E208" s="2">
        <v>7.5418994413407797E-2</v>
      </c>
      <c r="F208" s="2">
        <v>0</v>
      </c>
      <c r="G208" s="2">
        <v>0.19553072625698301</v>
      </c>
      <c r="H208" s="2">
        <v>0</v>
      </c>
      <c r="I208" s="2">
        <v>8.3798882681564192E-3</v>
      </c>
      <c r="J208" s="2">
        <v>2.5139664804469199E-2</v>
      </c>
      <c r="K208" s="2">
        <v>0.223463687150837</v>
      </c>
      <c r="L208" s="2">
        <v>0</v>
      </c>
      <c r="M208" s="2">
        <v>0</v>
      </c>
      <c r="N208" s="2">
        <v>0.19273743016759701</v>
      </c>
      <c r="O208" s="2">
        <v>1.3966480446927301E-2</v>
      </c>
      <c r="P208" s="2">
        <v>2.23463687150838E-2</v>
      </c>
      <c r="Q208" s="2">
        <v>6.7039106145251395E-2</v>
      </c>
      <c r="R208" s="2">
        <v>2.5139664804469199E-2</v>
      </c>
      <c r="S208" s="2">
        <v>0</v>
      </c>
      <c r="T208" s="2">
        <v>8.3798882681564192E-3</v>
      </c>
      <c r="U208" s="2">
        <v>4.7486033519553002E-2</v>
      </c>
      <c r="V208" s="2">
        <v>4.7486033519553002E-2</v>
      </c>
      <c r="W208" s="2">
        <v>0</v>
      </c>
      <c r="X208" s="2">
        <v>0</v>
      </c>
      <c r="Y208" s="2">
        <v>0</v>
      </c>
      <c r="Z208" s="2">
        <v>0</v>
      </c>
      <c r="AA208" s="2">
        <v>8.3798882681564192E-3</v>
      </c>
      <c r="AB208" s="2">
        <v>8.3798882681564192E-3</v>
      </c>
      <c r="AC208" s="19">
        <f t="shared" si="21"/>
        <v>0.223463687150837</v>
      </c>
      <c r="AD208" s="20" t="str">
        <f t="shared" si="22"/>
        <v>i</v>
      </c>
      <c r="AE208" s="21" t="str">
        <f t="shared" si="27"/>
        <v>pneeooooooeaaiicai</v>
      </c>
      <c r="AF208" s="22" t="str">
        <f t="shared" si="23"/>
        <v/>
      </c>
      <c r="AG208" s="19" cm="1">
        <f t="array" ref="AG208">MAX(IF($C208:$AB208&lt;AC208,$C208:$AB208))</f>
        <v>0.19553072625698301</v>
      </c>
      <c r="AH208" s="20" t="str">
        <f t="shared" si="24"/>
        <v>e</v>
      </c>
      <c r="AI208" s="21" t="str">
        <f t="shared" si="25"/>
        <v>aotrrrreeeriotoane</v>
      </c>
      <c r="AJ208" s="22" t="str">
        <f t="shared" si="26"/>
        <v/>
      </c>
    </row>
    <row r="209" spans="1:36" x14ac:dyDescent="0.25">
      <c r="A209" s="2">
        <v>20</v>
      </c>
      <c r="B209" s="2">
        <v>19</v>
      </c>
      <c r="C209" s="2">
        <v>0.103351955307262</v>
      </c>
      <c r="D209" s="2">
        <v>0</v>
      </c>
      <c r="E209" s="2">
        <v>1.67597765363128E-2</v>
      </c>
      <c r="F209" s="2">
        <v>1.3966480446927301E-2</v>
      </c>
      <c r="G209" s="2">
        <v>3.91061452513966E-2</v>
      </c>
      <c r="H209" s="2">
        <v>0</v>
      </c>
      <c r="I209" s="2">
        <v>0</v>
      </c>
      <c r="J209" s="2">
        <v>2.5139664804469199E-2</v>
      </c>
      <c r="K209" s="2">
        <v>0.12290502793296</v>
      </c>
      <c r="L209" s="2">
        <v>0</v>
      </c>
      <c r="M209" s="2">
        <v>0</v>
      </c>
      <c r="N209" s="2">
        <v>0.217877094972067</v>
      </c>
      <c r="O209" s="2">
        <v>3.0726256983240201E-2</v>
      </c>
      <c r="P209" s="2">
        <v>5.5865921787709397E-2</v>
      </c>
      <c r="Q209" s="2">
        <v>9.4972067039106101E-2</v>
      </c>
      <c r="R209" s="2">
        <v>8.3798882681564192E-3</v>
      </c>
      <c r="S209" s="2">
        <v>0</v>
      </c>
      <c r="T209" s="2">
        <v>8.3798882681564192E-3</v>
      </c>
      <c r="U209" s="2">
        <v>0.20949720670391</v>
      </c>
      <c r="V209" s="2">
        <v>2.7932960893854698E-2</v>
      </c>
      <c r="W209" s="2">
        <v>1.95530726256983E-2</v>
      </c>
      <c r="X209" s="2">
        <v>0</v>
      </c>
      <c r="Y209" s="2">
        <v>0</v>
      </c>
      <c r="Z209" s="2">
        <v>0</v>
      </c>
      <c r="AA209" s="2">
        <v>0</v>
      </c>
      <c r="AB209" s="2">
        <v>5.5865921787709499E-3</v>
      </c>
      <c r="AC209" s="19">
        <f t="shared" si="21"/>
        <v>0.217877094972067</v>
      </c>
      <c r="AD209" s="20" t="str">
        <f t="shared" si="22"/>
        <v>l</v>
      </c>
      <c r="AE209" s="21" t="str">
        <f t="shared" si="27"/>
        <v>pneeooooooeaaiicail</v>
      </c>
      <c r="AF209" s="22" t="str">
        <f t="shared" si="23"/>
        <v/>
      </c>
      <c r="AG209" s="19" cm="1">
        <f t="array" ref="AG209">MAX(IF($C209:$AB209&lt;AC209,$C209:$AB209))</f>
        <v>0.20949720670391</v>
      </c>
      <c r="AH209" s="20" t="str">
        <f t="shared" si="24"/>
        <v>s</v>
      </c>
      <c r="AI209" s="21" t="str">
        <f t="shared" si="25"/>
        <v>aotrrrreeeriotoanes</v>
      </c>
      <c r="AJ209" s="22" t="str">
        <f t="shared" si="26"/>
        <v/>
      </c>
    </row>
    <row r="210" spans="1:36" ht="15.75" thickBot="1" x14ac:dyDescent="0.3">
      <c r="A210" s="2">
        <v>20</v>
      </c>
      <c r="B210" s="2">
        <v>20</v>
      </c>
      <c r="C210" s="2">
        <v>1.11731843575419E-2</v>
      </c>
      <c r="D210" s="2">
        <v>0</v>
      </c>
      <c r="E210" s="2">
        <v>7.2625698324022298E-2</v>
      </c>
      <c r="F210" s="2">
        <v>1.3966480446927301E-2</v>
      </c>
      <c r="G210" s="2">
        <v>7.5418994413407797E-2</v>
      </c>
      <c r="H210" s="2">
        <v>0</v>
      </c>
      <c r="I210" s="2">
        <v>5.5865921787709499E-3</v>
      </c>
      <c r="J210" s="2">
        <v>5.5865921787709499E-3</v>
      </c>
      <c r="K210" s="2">
        <v>0</v>
      </c>
      <c r="L210" s="2">
        <v>0</v>
      </c>
      <c r="M210" s="2">
        <v>0</v>
      </c>
      <c r="N210" s="2">
        <v>9.77653631284916E-2</v>
      </c>
      <c r="O210" s="2">
        <v>3.3519553072625698E-2</v>
      </c>
      <c r="P210" s="2">
        <v>9.77653631284916E-2</v>
      </c>
      <c r="Q210" s="2">
        <v>0</v>
      </c>
      <c r="R210" s="2">
        <v>0</v>
      </c>
      <c r="S210" s="2">
        <v>0</v>
      </c>
      <c r="T210" s="2">
        <v>1.3966480446927301E-2</v>
      </c>
      <c r="U210" s="2">
        <v>0.245810055865921</v>
      </c>
      <c r="V210" s="2">
        <v>3.63128491620111E-2</v>
      </c>
      <c r="W210" s="2">
        <v>0</v>
      </c>
      <c r="X210" s="2">
        <v>0</v>
      </c>
      <c r="Y210" s="2">
        <v>0</v>
      </c>
      <c r="Z210" s="2">
        <v>0</v>
      </c>
      <c r="AA210" s="2">
        <v>0.29050279329608902</v>
      </c>
      <c r="AB210" s="2">
        <v>0</v>
      </c>
      <c r="AC210" s="23">
        <f t="shared" si="21"/>
        <v>0.29050279329608902</v>
      </c>
      <c r="AD210" s="24" t="str">
        <f t="shared" si="22"/>
        <v>y</v>
      </c>
      <c r="AE210" s="25" t="str">
        <f t="shared" si="27"/>
        <v>pneeooooooeaaiicaily</v>
      </c>
      <c r="AF210" s="26" t="str">
        <f t="shared" si="23"/>
        <v>pneeooooooeaaiicaily</v>
      </c>
      <c r="AG210" s="23" cm="1">
        <f t="array" ref="AG210">MAX(IF($C210:$AB210&lt;AC210,$C210:$AB210))</f>
        <v>0.245810055865921</v>
      </c>
      <c r="AH210" s="24" t="str">
        <f t="shared" si="24"/>
        <v>s</v>
      </c>
      <c r="AI210" s="25" t="str">
        <f t="shared" si="25"/>
        <v>aotrrrreeeriotoaness</v>
      </c>
      <c r="AJ210" s="26" t="str">
        <f t="shared" si="26"/>
        <v>aotrrrreeeriotoaness</v>
      </c>
    </row>
  </sheetData>
  <conditionalFormatting sqref="C2:AB210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19E1A-9C08-42DD-AA4F-FBF0057DB60C}">
  <dimension ref="A1:D20"/>
  <sheetViews>
    <sheetView workbookViewId="0">
      <selection activeCell="C2" sqref="C2:D20"/>
    </sheetView>
  </sheetViews>
  <sheetFormatPr defaultRowHeight="15" x14ac:dyDescent="0.25"/>
  <sheetData>
    <row r="1" spans="1:4" ht="45" x14ac:dyDescent="0.25">
      <c r="A1" s="1" t="s">
        <v>3</v>
      </c>
      <c r="B1" s="1" t="s">
        <v>4</v>
      </c>
      <c r="C1" s="13" t="s">
        <v>52</v>
      </c>
      <c r="D1" s="13" t="s">
        <v>54</v>
      </c>
    </row>
    <row r="2" spans="1:4" x14ac:dyDescent="0.25">
      <c r="A2" s="2">
        <v>2</v>
      </c>
      <c r="B2" s="2">
        <v>2</v>
      </c>
      <c r="C2" s="22" t="s">
        <v>56</v>
      </c>
      <c r="D2" s="22" t="s">
        <v>57</v>
      </c>
    </row>
    <row r="3" spans="1:4" x14ac:dyDescent="0.25">
      <c r="A3" s="2">
        <v>3</v>
      </c>
      <c r="B3" s="2">
        <v>3</v>
      </c>
      <c r="C3" s="22" t="s">
        <v>58</v>
      </c>
      <c r="D3" s="22" t="s">
        <v>59</v>
      </c>
    </row>
    <row r="4" spans="1:4" x14ac:dyDescent="0.25">
      <c r="A4" s="2">
        <v>4</v>
      </c>
      <c r="B4" s="2">
        <v>4</v>
      </c>
      <c r="C4" s="22" t="s">
        <v>60</v>
      </c>
      <c r="D4" s="22" t="s">
        <v>61</v>
      </c>
    </row>
    <row r="5" spans="1:4" x14ac:dyDescent="0.25">
      <c r="A5" s="2">
        <v>5</v>
      </c>
      <c r="B5" s="2">
        <v>5</v>
      </c>
      <c r="C5" s="22" t="s">
        <v>62</v>
      </c>
      <c r="D5" s="22" t="s">
        <v>63</v>
      </c>
    </row>
    <row r="6" spans="1:4" x14ac:dyDescent="0.25">
      <c r="A6" s="2">
        <v>6</v>
      </c>
      <c r="B6" s="2">
        <v>6</v>
      </c>
      <c r="C6" s="22" t="s">
        <v>64</v>
      </c>
      <c r="D6" s="22" t="s">
        <v>65</v>
      </c>
    </row>
    <row r="7" spans="1:4" x14ac:dyDescent="0.25">
      <c r="A7" s="2">
        <v>7</v>
      </c>
      <c r="B7" s="2">
        <v>7</v>
      </c>
      <c r="C7" s="22" t="s">
        <v>66</v>
      </c>
      <c r="D7" s="22" t="s">
        <v>67</v>
      </c>
    </row>
    <row r="8" spans="1:4" x14ac:dyDescent="0.25">
      <c r="A8" s="2">
        <v>8</v>
      </c>
      <c r="B8" s="2">
        <v>8</v>
      </c>
      <c r="C8" s="22" t="s">
        <v>68</v>
      </c>
      <c r="D8" s="22" t="s">
        <v>69</v>
      </c>
    </row>
    <row r="9" spans="1:4" x14ac:dyDescent="0.25">
      <c r="A9" s="2">
        <v>9</v>
      </c>
      <c r="B9" s="2">
        <v>9</v>
      </c>
      <c r="C9" s="22" t="s">
        <v>70</v>
      </c>
      <c r="D9" s="22" t="s">
        <v>71</v>
      </c>
    </row>
    <row r="10" spans="1:4" x14ac:dyDescent="0.25">
      <c r="A10" s="2">
        <v>10</v>
      </c>
      <c r="B10" s="2">
        <v>10</v>
      </c>
      <c r="C10" s="22" t="s">
        <v>72</v>
      </c>
      <c r="D10" s="22" t="s">
        <v>73</v>
      </c>
    </row>
    <row r="11" spans="1:4" x14ac:dyDescent="0.25">
      <c r="A11" s="2">
        <v>11</v>
      </c>
      <c r="B11" s="2">
        <v>11</v>
      </c>
      <c r="C11" s="22" t="s">
        <v>74</v>
      </c>
      <c r="D11" s="22" t="s">
        <v>75</v>
      </c>
    </row>
    <row r="12" spans="1:4" x14ac:dyDescent="0.25">
      <c r="A12" s="2">
        <v>12</v>
      </c>
      <c r="B12" s="2">
        <v>12</v>
      </c>
      <c r="C12" s="22" t="s">
        <v>76</v>
      </c>
      <c r="D12" s="22" t="s">
        <v>77</v>
      </c>
    </row>
    <row r="13" spans="1:4" x14ac:dyDescent="0.25">
      <c r="A13" s="2">
        <v>13</v>
      </c>
      <c r="B13" s="2">
        <v>13</v>
      </c>
      <c r="C13" s="22" t="s">
        <v>78</v>
      </c>
      <c r="D13" s="22" t="s">
        <v>79</v>
      </c>
    </row>
    <row r="14" spans="1:4" x14ac:dyDescent="0.25">
      <c r="A14" s="2">
        <v>14</v>
      </c>
      <c r="B14" s="2">
        <v>14</v>
      </c>
      <c r="C14" s="22" t="s">
        <v>80</v>
      </c>
      <c r="D14" s="22" t="s">
        <v>81</v>
      </c>
    </row>
    <row r="15" spans="1:4" x14ac:dyDescent="0.25">
      <c r="A15" s="2">
        <v>15</v>
      </c>
      <c r="B15" s="2">
        <v>15</v>
      </c>
      <c r="C15" s="22" t="s">
        <v>82</v>
      </c>
      <c r="D15" s="22" t="s">
        <v>83</v>
      </c>
    </row>
    <row r="16" spans="1:4" x14ac:dyDescent="0.25">
      <c r="A16" s="2">
        <v>16</v>
      </c>
      <c r="B16" s="2">
        <v>16</v>
      </c>
      <c r="C16" s="22" t="s">
        <v>84</v>
      </c>
      <c r="D16" s="22" t="s">
        <v>85</v>
      </c>
    </row>
    <row r="17" spans="1:4" x14ac:dyDescent="0.25">
      <c r="A17" s="2">
        <v>17</v>
      </c>
      <c r="B17" s="2">
        <v>17</v>
      </c>
      <c r="C17" s="22" t="s">
        <v>86</v>
      </c>
      <c r="D17" s="22" t="s">
        <v>87</v>
      </c>
    </row>
    <row r="18" spans="1:4" x14ac:dyDescent="0.25">
      <c r="A18" s="2">
        <v>18</v>
      </c>
      <c r="B18" s="2">
        <v>18</v>
      </c>
      <c r="C18" s="22" t="s">
        <v>88</v>
      </c>
      <c r="D18" s="22" t="s">
        <v>89</v>
      </c>
    </row>
    <row r="19" spans="1:4" x14ac:dyDescent="0.25">
      <c r="A19" s="2">
        <v>19</v>
      </c>
      <c r="B19" s="2">
        <v>19</v>
      </c>
      <c r="C19" s="22" t="s">
        <v>90</v>
      </c>
      <c r="D19" s="22" t="s">
        <v>91</v>
      </c>
    </row>
    <row r="20" spans="1:4" ht="15.75" thickBot="1" x14ac:dyDescent="0.3">
      <c r="A20" s="2">
        <v>20</v>
      </c>
      <c r="B20" s="2">
        <v>20</v>
      </c>
      <c r="C20" s="26" t="s">
        <v>92</v>
      </c>
      <c r="D20" s="26" t="s">
        <v>93</v>
      </c>
    </row>
  </sheetData>
  <sortState xmlns:xlrd2="http://schemas.microsoft.com/office/spreadsheetml/2017/richdata2" ref="A2:D213">
    <sortCondition ref="A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99AED-0B05-4827-8B76-85872A09E172}">
  <dimension ref="A1:AC326"/>
  <sheetViews>
    <sheetView showGridLines="0" workbookViewId="0">
      <selection activeCell="K4" sqref="A4:K4"/>
    </sheetView>
  </sheetViews>
  <sheetFormatPr defaultRowHeight="15" x14ac:dyDescent="0.25"/>
  <cols>
    <col min="1" max="1" width="6" style="7" bestFit="1" customWidth="1"/>
    <col min="2" max="2" width="9.140625" style="7"/>
    <col min="3" max="3" width="18.28515625" style="3" bestFit="1" customWidth="1"/>
    <col min="4" max="29" width="6.28515625" customWidth="1"/>
  </cols>
  <sheetData>
    <row r="1" spans="1:29" ht="30" x14ac:dyDescent="0.25">
      <c r="A1" s="1" t="s">
        <v>3</v>
      </c>
      <c r="B1" s="1" t="s">
        <v>5</v>
      </c>
      <c r="C1" s="4" t="s">
        <v>31</v>
      </c>
      <c r="D1" s="6" t="s">
        <v>2</v>
      </c>
      <c r="E1" s="6" t="s">
        <v>6</v>
      </c>
      <c r="F1" s="6" t="s">
        <v>7</v>
      </c>
      <c r="G1" s="6" t="s">
        <v>8</v>
      </c>
      <c r="H1" s="6" t="s">
        <v>9</v>
      </c>
      <c r="I1" s="6" t="s">
        <v>10</v>
      </c>
      <c r="J1" s="6" t="s">
        <v>11</v>
      </c>
      <c r="K1" s="6" t="s">
        <v>12</v>
      </c>
      <c r="L1" s="6" t="s">
        <v>13</v>
      </c>
      <c r="M1" s="6" t="s">
        <v>14</v>
      </c>
      <c r="N1" s="6" t="s">
        <v>15</v>
      </c>
      <c r="O1" s="6" t="s">
        <v>16</v>
      </c>
      <c r="P1" s="6" t="s">
        <v>17</v>
      </c>
      <c r="Q1" s="6" t="s">
        <v>18</v>
      </c>
      <c r="R1" s="6" t="s">
        <v>19</v>
      </c>
      <c r="S1" s="6" t="s">
        <v>20</v>
      </c>
      <c r="T1" s="6" t="s">
        <v>21</v>
      </c>
      <c r="U1" s="6" t="s">
        <v>22</v>
      </c>
      <c r="V1" s="6" t="s">
        <v>23</v>
      </c>
      <c r="W1" s="6" t="s">
        <v>24</v>
      </c>
      <c r="X1" s="6" t="s">
        <v>25</v>
      </c>
      <c r="Y1" s="6" t="s">
        <v>26</v>
      </c>
      <c r="Z1" s="6" t="s">
        <v>27</v>
      </c>
      <c r="AA1" s="6" t="s">
        <v>28</v>
      </c>
      <c r="AB1" s="6" t="s">
        <v>29</v>
      </c>
      <c r="AC1" s="6" t="s">
        <v>30</v>
      </c>
    </row>
    <row r="2" spans="1:29" x14ac:dyDescent="0.25">
      <c r="A2" s="1">
        <v>2</v>
      </c>
      <c r="B2" s="11">
        <v>87</v>
      </c>
      <c r="C2" s="9" t="s">
        <v>32</v>
      </c>
      <c r="D2" s="5">
        <f>AVERAGEIFS('Final Dist Detail'!C:C,'Final Dist Detail'!$A:$A,'Final Summary '!$A2)</f>
        <v>4.5977011494252852E-2</v>
      </c>
      <c r="E2" s="5">
        <f>AVERAGEIFS('Final Dist Detail'!D:D,'Final Dist Detail'!$A:$A,'Final Summary '!$A2)</f>
        <v>5.7471264367815996E-3</v>
      </c>
      <c r="F2" s="5">
        <f>AVERAGEIFS('Final Dist Detail'!E:E,'Final Dist Detail'!$A:$A,'Final Summary '!$A2)</f>
        <v>2.8735632183907997E-2</v>
      </c>
      <c r="G2" s="5">
        <f>AVERAGEIFS('Final Dist Detail'!F:F,'Final Dist Detail'!$A:$A,'Final Summary '!$A2)</f>
        <v>2.8735632183907997E-2</v>
      </c>
      <c r="H2" s="5">
        <f>AVERAGEIFS('Final Dist Detail'!G:G,'Final Dist Detail'!$A:$A,'Final Summary '!$A2)</f>
        <v>8.6206896551723644E-2</v>
      </c>
      <c r="I2" s="5">
        <f>AVERAGEIFS('Final Dist Detail'!H:H,'Final Dist Detail'!$A:$A,'Final Summary '!$A2)</f>
        <v>2.2988505747126398E-2</v>
      </c>
      <c r="J2" s="5">
        <f>AVERAGEIFS('Final Dist Detail'!I:I,'Final Dist Detail'!$A:$A,'Final Summary '!$A2)</f>
        <v>2.2988505747126398E-2</v>
      </c>
      <c r="K2" s="5">
        <f>AVERAGEIFS('Final Dist Detail'!J:J,'Final Dist Detail'!$A:$A,'Final Summary '!$A2)</f>
        <v>2.2988505747126398E-2</v>
      </c>
      <c r="L2" s="5">
        <f>AVERAGEIFS('Final Dist Detail'!K:K,'Final Dist Detail'!$A:$A,'Final Summary '!$A2)</f>
        <v>6.896551724137881E-2</v>
      </c>
      <c r="M2" s="5">
        <f>AVERAGEIFS('Final Dist Detail'!L:L,'Final Dist Detail'!$A:$A,'Final Summary '!$A2)</f>
        <v>2.2988505747126398E-2</v>
      </c>
      <c r="N2" s="5">
        <f>AVERAGEIFS('Final Dist Detail'!M:M,'Final Dist Detail'!$A:$A,'Final Summary '!$A2)</f>
        <v>4.0229885057471201E-2</v>
      </c>
      <c r="O2" s="5">
        <f>AVERAGEIFS('Final Dist Detail'!N:N,'Final Dist Detail'!$A:$A,'Final Summary '!$A2)</f>
        <v>6.8965517241379254E-2</v>
      </c>
      <c r="P2" s="5">
        <f>AVERAGEIFS('Final Dist Detail'!O:O,'Final Dist Detail'!$A:$A,'Final Summary '!$A2)</f>
        <v>2.2988505747126398E-2</v>
      </c>
      <c r="Q2" s="5">
        <f>AVERAGEIFS('Final Dist Detail'!P:P,'Final Dist Detail'!$A:$A,'Final Summary '!$A2)</f>
        <v>4.5977011494252852E-2</v>
      </c>
      <c r="R2" s="5">
        <f>AVERAGEIFS('Final Dist Detail'!Q:Q,'Final Dist Detail'!$A:$A,'Final Summary '!$A2)</f>
        <v>5.1724137931034399E-2</v>
      </c>
      <c r="S2" s="5">
        <f>AVERAGEIFS('Final Dist Detail'!R:R,'Final Dist Detail'!$A:$A,'Final Summary '!$A2)</f>
        <v>0</v>
      </c>
      <c r="T2" s="5">
        <f>AVERAGEIFS('Final Dist Detail'!S:S,'Final Dist Detail'!$A:$A,'Final Summary '!$A2)</f>
        <v>2.2988505747126398E-2</v>
      </c>
      <c r="U2" s="5">
        <f>AVERAGEIFS('Final Dist Detail'!T:T,'Final Dist Detail'!$A:$A,'Final Summary '!$A2)</f>
        <v>4.5977011494252845E-2</v>
      </c>
      <c r="V2" s="5">
        <f>AVERAGEIFS('Final Dist Detail'!U:U,'Final Dist Detail'!$A:$A,'Final Summary '!$A2)</f>
        <v>6.3218390804597652E-2</v>
      </c>
      <c r="W2" s="5">
        <f>AVERAGEIFS('Final Dist Detail'!V:V,'Final Dist Detail'!$A:$A,'Final Summary '!$A2)</f>
        <v>5.747126436781605E-2</v>
      </c>
      <c r="X2" s="5">
        <f>AVERAGEIFS('Final Dist Detail'!W:W,'Final Dist Detail'!$A:$A,'Final Summary '!$A2)</f>
        <v>2.2988505747126398E-2</v>
      </c>
      <c r="Y2" s="5">
        <f>AVERAGEIFS('Final Dist Detail'!X:X,'Final Dist Detail'!$A:$A,'Final Summary '!$A2)</f>
        <v>5.7471264367815996E-3</v>
      </c>
      <c r="Z2" s="5">
        <f>AVERAGEIFS('Final Dist Detail'!Y:Y,'Final Dist Detail'!$A:$A,'Final Summary '!$A2)</f>
        <v>2.2988505747126398E-2</v>
      </c>
      <c r="AA2" s="5">
        <f>AVERAGEIFS('Final Dist Detail'!Z:Z,'Final Dist Detail'!$A:$A,'Final Summary '!$A2)</f>
        <v>5.747126436781605E-2</v>
      </c>
      <c r="AB2" s="5">
        <f>AVERAGEIFS('Final Dist Detail'!AA:AA,'Final Dist Detail'!$A:$A,'Final Summary '!$A2)</f>
        <v>9.7701149425286848E-2</v>
      </c>
      <c r="AC2" s="5">
        <f>AVERAGEIFS('Final Dist Detail'!AB:AB,'Final Dist Detail'!$A:$A,'Final Summary '!$A2)</f>
        <v>1.72413793103448E-2</v>
      </c>
    </row>
    <row r="3" spans="1:29" x14ac:dyDescent="0.25">
      <c r="A3" s="1">
        <v>3</v>
      </c>
      <c r="B3" s="11">
        <v>1008</v>
      </c>
      <c r="C3" s="9" t="s">
        <v>33</v>
      </c>
      <c r="D3" s="5">
        <f>AVERAGEIFS('Final Dist Detail'!C:C,'Final Dist Detail'!$A:$A,'Final Summary '!$A3)</f>
        <v>6.8783068783068765E-2</v>
      </c>
      <c r="E3" s="5">
        <f>AVERAGEIFS('Final Dist Detail'!D:D,'Final Dist Detail'!$A:$A,'Final Summary '!$A3)</f>
        <v>3.1415343915343868E-2</v>
      </c>
      <c r="F3" s="5">
        <f>AVERAGEIFS('Final Dist Detail'!E:E,'Final Dist Detail'!$A:$A,'Final Summary '!$A3)</f>
        <v>2.7116402116402066E-2</v>
      </c>
      <c r="G3" s="5">
        <f>AVERAGEIFS('Final Dist Detail'!F:F,'Final Dist Detail'!$A:$A,'Final Summary '!$A3)</f>
        <v>3.7037037037036966E-2</v>
      </c>
      <c r="H3" s="5">
        <f>AVERAGEIFS('Final Dist Detail'!G:G,'Final Dist Detail'!$A:$A,'Final Summary '!$A3)</f>
        <v>7.6719576719576466E-2</v>
      </c>
      <c r="I3" s="5">
        <f>AVERAGEIFS('Final Dist Detail'!H:H,'Final Dist Detail'!$A:$A,'Final Summary '!$A3)</f>
        <v>2.9761904761904701E-2</v>
      </c>
      <c r="J3" s="5">
        <f>AVERAGEIFS('Final Dist Detail'!I:I,'Final Dist Detail'!$A:$A,'Final Summary '!$A3)</f>
        <v>4.1997354497354429E-2</v>
      </c>
      <c r="K3" s="5">
        <f>AVERAGEIFS('Final Dist Detail'!J:J,'Final Dist Detail'!$A:$A,'Final Summary '!$A3)</f>
        <v>4.2658730158730097E-2</v>
      </c>
      <c r="L3" s="5">
        <f>AVERAGEIFS('Final Dist Detail'!K:K,'Final Dist Detail'!$A:$A,'Final Summary '!$A3)</f>
        <v>5.886243386243379E-2</v>
      </c>
      <c r="M3" s="5">
        <f>AVERAGEIFS('Final Dist Detail'!L:L,'Final Dist Detail'!$A:$A,'Final Summary '!$A3)</f>
        <v>1.1243386243386234E-2</v>
      </c>
      <c r="N3" s="5">
        <f>AVERAGEIFS('Final Dist Detail'!M:M,'Final Dist Detail'!$A:$A,'Final Summary '!$A3)</f>
        <v>2.6124338624338564E-2</v>
      </c>
      <c r="O3" s="5">
        <f>AVERAGEIFS('Final Dist Detail'!N:N,'Final Dist Detail'!$A:$A,'Final Summary '!$A3)</f>
        <v>3.7037037037037E-2</v>
      </c>
      <c r="P3" s="5">
        <f>AVERAGEIFS('Final Dist Detail'!O:O,'Final Dist Detail'!$A:$A,'Final Summary '!$A3)</f>
        <v>2.7777777777777735E-2</v>
      </c>
      <c r="Q3" s="5">
        <f>AVERAGEIFS('Final Dist Detail'!P:P,'Final Dist Detail'!$A:$A,'Final Summary '!$A3)</f>
        <v>3.4391534391534369E-2</v>
      </c>
      <c r="R3" s="5">
        <f>AVERAGEIFS('Final Dist Detail'!Q:Q,'Final Dist Detail'!$A:$A,'Final Summary '!$A3)</f>
        <v>7.6058201058200728E-2</v>
      </c>
      <c r="S3" s="5">
        <f>AVERAGEIFS('Final Dist Detail'!R:R,'Final Dist Detail'!$A:$A,'Final Summary '!$A3)</f>
        <v>4.1666666666666602E-2</v>
      </c>
      <c r="T3" s="5">
        <f>AVERAGEIFS('Final Dist Detail'!S:S,'Final Dist Detail'!$A:$A,'Final Summary '!$A3)</f>
        <v>6.9444444444444406E-3</v>
      </c>
      <c r="U3" s="5">
        <f>AVERAGEIFS('Final Dist Detail'!T:T,'Final Dist Detail'!$A:$A,'Final Summary '!$A3)</f>
        <v>4.8280423280423201E-2</v>
      </c>
      <c r="V3" s="5">
        <f>AVERAGEIFS('Final Dist Detail'!U:U,'Final Dist Detail'!$A:$A,'Final Summary '!$A3)</f>
        <v>4.2658730158730097E-2</v>
      </c>
      <c r="W3" s="5">
        <f>AVERAGEIFS('Final Dist Detail'!V:V,'Final Dist Detail'!$A:$A,'Final Summary '!$A3)</f>
        <v>5.9523809523809458E-2</v>
      </c>
      <c r="X3" s="5">
        <f>AVERAGEIFS('Final Dist Detail'!W:W,'Final Dist Detail'!$A:$A,'Final Summary '!$A3)</f>
        <v>5.2579365079364969E-2</v>
      </c>
      <c r="Y3" s="5">
        <f>AVERAGEIFS('Final Dist Detail'!X:X,'Final Dist Detail'!$A:$A,'Final Summary '!$A3)</f>
        <v>1.5873015873015841E-2</v>
      </c>
      <c r="Z3" s="5">
        <f>AVERAGEIFS('Final Dist Detail'!Y:Y,'Final Dist Detail'!$A:$A,'Final Summary '!$A3)</f>
        <v>3.2407407407407364E-2</v>
      </c>
      <c r="AA3" s="5">
        <f>AVERAGEIFS('Final Dist Detail'!Z:Z,'Final Dist Detail'!$A:$A,'Final Summary '!$A3)</f>
        <v>1.7526455026455001E-2</v>
      </c>
      <c r="AB3" s="5">
        <f>AVERAGEIFS('Final Dist Detail'!AA:AA,'Final Dist Detail'!$A:$A,'Final Summary '!$A3)</f>
        <v>4.2328042328042298E-2</v>
      </c>
      <c r="AC3" s="5">
        <f>AVERAGEIFS('Final Dist Detail'!AB:AB,'Final Dist Detail'!$A:$A,'Final Summary '!$A3)</f>
        <v>1.3227513227513185E-2</v>
      </c>
    </row>
    <row r="4" spans="1:29" x14ac:dyDescent="0.25">
      <c r="A4" s="1">
        <v>4</v>
      </c>
      <c r="B4" s="11">
        <v>5082</v>
      </c>
      <c r="C4" s="9" t="s">
        <v>34</v>
      </c>
      <c r="D4" s="5">
        <f>AVERAGEIFS('Final Dist Detail'!C:C,'Final Dist Detail'!$A:$A,'Final Summary '!$A4)</f>
        <v>9.1056670602124953E-2</v>
      </c>
      <c r="E4" s="5">
        <f>AVERAGEIFS('Final Dist Detail'!D:D,'Final Dist Detail'!$A:$A,'Final Summary '!$A4)</f>
        <v>2.6121605667060198E-2</v>
      </c>
      <c r="F4" s="5">
        <f>AVERAGEIFS('Final Dist Detail'!E:E,'Final Dist Detail'!$A:$A,'Final Summary '!$A4)</f>
        <v>2.9073199527744901E-2</v>
      </c>
      <c r="G4" s="5">
        <f>AVERAGEIFS('Final Dist Detail'!F:F,'Final Dist Detail'!$A:$A,'Final Summary '!$A4)</f>
        <v>3.8961038961038925E-2</v>
      </c>
      <c r="H4" s="5">
        <f>AVERAGEIFS('Final Dist Detail'!G:G,'Final Dist Detail'!$A:$A,'Final Summary '!$A4)</f>
        <v>9.3959071231798336E-2</v>
      </c>
      <c r="I4" s="5">
        <f>AVERAGEIFS('Final Dist Detail'!H:H,'Final Dist Detail'!$A:$A,'Final Summary '!$A4)</f>
        <v>2.1989374262101492E-2</v>
      </c>
      <c r="J4" s="5">
        <f>AVERAGEIFS('Final Dist Detail'!I:I,'Final Dist Detail'!$A:$A,'Final Summary '!$A4)</f>
        <v>2.9319165682801986E-2</v>
      </c>
      <c r="K4" s="5">
        <f>AVERAGEIFS('Final Dist Detail'!J:J,'Final Dist Detail'!$A:$A,'Final Summary '!$A4)</f>
        <v>2.8876426603699303E-2</v>
      </c>
      <c r="L4" s="5">
        <f>AVERAGEIFS('Final Dist Detail'!K:K,'Final Dist Detail'!$A:$A,'Final Summary '!$A4)</f>
        <v>6.0458480913026108E-2</v>
      </c>
      <c r="M4" s="5">
        <f>AVERAGEIFS('Final Dist Detail'!L:L,'Final Dist Detail'!$A:$A,'Final Summary '!$A4)</f>
        <v>7.0838252656434415E-3</v>
      </c>
      <c r="N4" s="5">
        <f>AVERAGEIFS('Final Dist Detail'!M:M,'Final Dist Detail'!$A:$A,'Final Summary '!$A4)</f>
        <v>2.8974813065722124E-2</v>
      </c>
      <c r="O4" s="5">
        <f>AVERAGEIFS('Final Dist Detail'!N:N,'Final Dist Detail'!$A:$A,'Final Summary '!$A4)</f>
        <v>5.0127902400629629E-2</v>
      </c>
      <c r="P4" s="5">
        <f>AVERAGEIFS('Final Dist Detail'!O:O,'Final Dist Detail'!$A:$A,'Final Summary '!$A4)</f>
        <v>3.0942542306178628E-2</v>
      </c>
      <c r="Q4" s="5">
        <f>AVERAGEIFS('Final Dist Detail'!P:P,'Final Dist Detail'!$A:$A,'Final Summary '!$A4)</f>
        <v>4.2994883903974754E-2</v>
      </c>
      <c r="R4" s="5">
        <f>AVERAGEIFS('Final Dist Detail'!Q:Q,'Final Dist Detail'!$A:$A,'Final Summary '!$A4)</f>
        <v>7.6839826839826569E-2</v>
      </c>
      <c r="S4" s="5">
        <f>AVERAGEIFS('Final Dist Detail'!R:R,'Final Dist Detail'!$A:$A,'Final Summary '!$A4)</f>
        <v>3.7288469106650853E-2</v>
      </c>
      <c r="T4" s="5">
        <f>AVERAGEIFS('Final Dist Detail'!S:S,'Final Dist Detail'!$A:$A,'Final Summary '!$A4)</f>
        <v>2.3612750885478131E-3</v>
      </c>
      <c r="U4" s="5">
        <f>AVERAGEIFS('Final Dist Detail'!T:T,'Final Dist Detail'!$A:$A,'Final Summary '!$A4)</f>
        <v>5.1111767020857901E-2</v>
      </c>
      <c r="V4" s="5">
        <f>AVERAGEIFS('Final Dist Detail'!U:U,'Final Dist Detail'!$A:$A,'Final Summary '!$A4)</f>
        <v>7.3986619441164747E-2</v>
      </c>
      <c r="W4" s="5">
        <f>AVERAGEIFS('Final Dist Detail'!V:V,'Final Dist Detail'!$A:$A,'Final Summary '!$A4)</f>
        <v>5.3620621802439955E-2</v>
      </c>
      <c r="X4" s="5">
        <f>AVERAGEIFS('Final Dist Detail'!W:W,'Final Dist Detail'!$A:$A,'Final Summary '!$A4)</f>
        <v>4.6930342384887802E-2</v>
      </c>
      <c r="Y4" s="5">
        <f>AVERAGEIFS('Final Dist Detail'!X:X,'Final Dist Detail'!$A:$A,'Final Summary '!$A4)</f>
        <v>1.0674931129476551E-2</v>
      </c>
      <c r="Z4" s="5">
        <f>AVERAGEIFS('Final Dist Detail'!Y:Y,'Final Dist Detail'!$A:$A,'Final Summary '!$A4)</f>
        <v>2.3170011806375401E-2</v>
      </c>
      <c r="AA4" s="5">
        <f>AVERAGEIFS('Final Dist Detail'!Z:Z,'Final Dist Detail'!$A:$A,'Final Summary '!$A4)</f>
        <v>5.7556080283352948E-3</v>
      </c>
      <c r="AB4" s="5">
        <f>AVERAGEIFS('Final Dist Detail'!AA:AA,'Final Dist Detail'!$A:$A,'Final Summary '!$A4)</f>
        <v>3.0548996458087299E-2</v>
      </c>
      <c r="AC4" s="5">
        <f>AVERAGEIFS('Final Dist Detail'!AB:AB,'Final Dist Detail'!$A:$A,'Final Summary '!$A4)</f>
        <v>7.772530499803202E-3</v>
      </c>
    </row>
    <row r="5" spans="1:29" x14ac:dyDescent="0.25">
      <c r="A5" s="1">
        <v>5</v>
      </c>
      <c r="B5" s="11">
        <v>12927</v>
      </c>
      <c r="C5" s="9" t="s">
        <v>35</v>
      </c>
      <c r="D5" s="5">
        <f>AVERAGEIFS('Final Dist Detail'!C:C,'Final Dist Detail'!$A:$A,'Final Summary '!$A5)</f>
        <v>9.8352285913204732E-2</v>
      </c>
      <c r="E5" s="5">
        <f>AVERAGEIFS('Final Dist Detail'!D:D,'Final Dist Detail'!$A:$A,'Final Summary '!$A5)</f>
        <v>2.5311363812176052E-2</v>
      </c>
      <c r="F5" s="5">
        <f>AVERAGEIFS('Final Dist Detail'!E:E,'Final Dist Detail'!$A:$A,'Final Summary '!$A5)</f>
        <v>3.3851628374719521E-2</v>
      </c>
      <c r="G5" s="5">
        <f>AVERAGEIFS('Final Dist Detail'!F:F,'Final Dist Detail'!$A:$A,'Final Summary '!$A5)</f>
        <v>3.6311595884582618E-2</v>
      </c>
      <c r="H5" s="5">
        <f>AVERAGEIFS('Final Dist Detail'!G:G,'Final Dist Detail'!$A:$A,'Final Summary '!$A5)</f>
        <v>0.10017792217838602</v>
      </c>
      <c r="I5" s="5">
        <f>AVERAGEIFS('Final Dist Detail'!H:H,'Final Dist Detail'!$A:$A,'Final Summary '!$A5)</f>
        <v>1.6894871199814299E-2</v>
      </c>
      <c r="J5" s="5">
        <f>AVERAGEIFS('Final Dist Detail'!I:I,'Final Dist Detail'!$A:$A,'Final Summary '!$A5)</f>
        <v>2.5326835305948737E-2</v>
      </c>
      <c r="K5" s="5">
        <f>AVERAGEIFS('Final Dist Detail'!J:J,'Final Dist Detail'!$A:$A,'Final Summary '!$A5)</f>
        <v>2.8390191072948039E-2</v>
      </c>
      <c r="L5" s="5">
        <f>AVERAGEIFS('Final Dist Detail'!K:K,'Final Dist Detail'!$A:$A,'Final Summary '!$A5)</f>
        <v>6.1762203140713054E-2</v>
      </c>
      <c r="M5" s="5">
        <f>AVERAGEIFS('Final Dist Detail'!L:L,'Final Dist Detail'!$A:$A,'Final Summary '!$A5)</f>
        <v>4.2701322812717492E-3</v>
      </c>
      <c r="N5" s="5">
        <f>AVERAGEIFS('Final Dist Detail'!M:M,'Final Dist Detail'!$A:$A,'Final Summary '!$A5)</f>
        <v>2.2124236094994938E-2</v>
      </c>
      <c r="O5" s="5">
        <f>AVERAGEIFS('Final Dist Detail'!N:N,'Final Dist Detail'!$A:$A,'Final Summary '!$A5)</f>
        <v>5.2278177458033523E-2</v>
      </c>
      <c r="P5" s="5">
        <f>AVERAGEIFS('Final Dist Detail'!O:O,'Final Dist Detail'!$A:$A,'Final Summary '!$A5)</f>
        <v>3.0246770325674903E-2</v>
      </c>
      <c r="Q5" s="5">
        <f>AVERAGEIFS('Final Dist Detail'!P:P,'Final Dist Detail'!$A:$A,'Final Summary '!$A5)</f>
        <v>4.7868801732807262E-2</v>
      </c>
      <c r="R5" s="5">
        <f>AVERAGEIFS('Final Dist Detail'!Q:Q,'Final Dist Detail'!$A:$A,'Final Summary '!$A5)</f>
        <v>6.7068925504757265E-2</v>
      </c>
      <c r="S5" s="5">
        <f>AVERAGEIFS('Final Dist Detail'!R:R,'Final Dist Detail'!$A:$A,'Final Summary '!$A5)</f>
        <v>3.0757329620174783E-2</v>
      </c>
      <c r="T5" s="5">
        <f>AVERAGEIFS('Final Dist Detail'!S:S,'Final Dist Detail'!$A:$A,'Final Summary '!$A5)</f>
        <v>1.794693277635952E-3</v>
      </c>
      <c r="U5" s="5">
        <f>AVERAGEIFS('Final Dist Detail'!T:T,'Final Dist Detail'!$A:$A,'Final Summary '!$A5)</f>
        <v>6.3278409530440102E-2</v>
      </c>
      <c r="V5" s="5">
        <f>AVERAGEIFS('Final Dist Detail'!U:U,'Final Dist Detail'!$A:$A,'Final Summary '!$A5)</f>
        <v>8.6501121683298238E-2</v>
      </c>
      <c r="W5" s="5">
        <f>AVERAGEIFS('Final Dist Detail'!V:V,'Final Dist Detail'!$A:$A,'Final Summary '!$A5)</f>
        <v>5.4660787499032984E-2</v>
      </c>
      <c r="X5" s="5">
        <f>AVERAGEIFS('Final Dist Detail'!W:W,'Final Dist Detail'!$A:$A,'Final Summary '!$A5)</f>
        <v>4.24228359248085E-2</v>
      </c>
      <c r="Y5" s="5">
        <f>AVERAGEIFS('Final Dist Detail'!X:X,'Final Dist Detail'!$A:$A,'Final Summary '!$A5)</f>
        <v>1.1294190454088296E-2</v>
      </c>
      <c r="Z5" s="5">
        <f>AVERAGEIFS('Final Dist Detail'!Y:Y,'Final Dist Detail'!$A:$A,'Final Summary '!$A5)</f>
        <v>1.610582501740539E-2</v>
      </c>
      <c r="AA5" s="5">
        <f>AVERAGEIFS('Final Dist Detail'!Z:Z,'Final Dist Detail'!$A:$A,'Final Summary '!$A5)</f>
        <v>4.6569196255898462E-3</v>
      </c>
      <c r="AB5" s="5">
        <f>AVERAGEIFS('Final Dist Detail'!AA:AA,'Final Dist Detail'!$A:$A,'Final Summary '!$A5)</f>
        <v>3.2165235553492655E-2</v>
      </c>
      <c r="AC5" s="5">
        <f>AVERAGEIFS('Final Dist Detail'!AB:AB,'Final Dist Detail'!$A:$A,'Final Summary '!$A5)</f>
        <v>6.1267115339986022E-3</v>
      </c>
    </row>
    <row r="6" spans="1:29" x14ac:dyDescent="0.25">
      <c r="A6" s="1">
        <v>6</v>
      </c>
      <c r="B6" s="11">
        <v>26132</v>
      </c>
      <c r="C6" s="9" t="s">
        <v>36</v>
      </c>
      <c r="D6" s="5">
        <f>AVERAGEIFS('Final Dist Detail'!C:C,'Final Dist Detail'!$A:$A,'Final Summary '!$A6)</f>
        <v>9.0687024848206454E-2</v>
      </c>
      <c r="E6" s="5">
        <f>AVERAGEIFS('Final Dist Detail'!D:D,'Final Dist Detail'!$A:$A,'Final Summary '!$A6)</f>
        <v>2.5103321598040698E-2</v>
      </c>
      <c r="F6" s="5">
        <f>AVERAGEIFS('Final Dist Detail'!E:E,'Final Dist Detail'!$A:$A,'Final Summary '!$A6)</f>
        <v>3.6047757538649881E-2</v>
      </c>
      <c r="G6" s="5">
        <f>AVERAGEIFS('Final Dist Detail'!F:F,'Final Dist Detail'!$A:$A,'Final Summary '!$A6)</f>
        <v>4.0894943619572389E-2</v>
      </c>
      <c r="H6" s="5">
        <f>AVERAGEIFS('Final Dist Detail'!G:G,'Final Dist Detail'!$A:$A,'Final Summary '!$A6)</f>
        <v>0.118379764273687</v>
      </c>
      <c r="I6" s="5">
        <f>AVERAGEIFS('Final Dist Detail'!H:H,'Final Dist Detail'!$A:$A,'Final Summary '!$A6)</f>
        <v>1.5294147660594901E-2</v>
      </c>
      <c r="J6" s="5">
        <f>AVERAGEIFS('Final Dist Detail'!I:I,'Final Dist Detail'!$A:$A,'Final Summary '!$A6)</f>
        <v>2.7322822592989387E-2</v>
      </c>
      <c r="K6" s="5">
        <f>AVERAGEIFS('Final Dist Detail'!J:J,'Final Dist Detail'!$A:$A,'Final Summary '!$A6)</f>
        <v>2.6952905760497952E-2</v>
      </c>
      <c r="L6" s="5">
        <f>AVERAGEIFS('Final Dist Detail'!K:K,'Final Dist Detail'!$A:$A,'Final Summary '!$A6)</f>
        <v>6.7745803357313963E-2</v>
      </c>
      <c r="M6" s="5">
        <f>AVERAGEIFS('Final Dist Detail'!L:L,'Final Dist Detail'!$A:$A,'Final Summary '!$A6)</f>
        <v>3.7693249655594637E-3</v>
      </c>
      <c r="N6" s="5">
        <f>AVERAGEIFS('Final Dist Detail'!M:M,'Final Dist Detail'!$A:$A,'Final Summary '!$A6)</f>
        <v>1.6295474258890722E-2</v>
      </c>
      <c r="O6" s="5">
        <f>AVERAGEIFS('Final Dist Detail'!N:N,'Final Dist Detail'!$A:$A,'Final Summary '!$A6)</f>
        <v>5.5640593907852386E-2</v>
      </c>
      <c r="P6" s="5">
        <f>AVERAGEIFS('Final Dist Detail'!O:O,'Final Dist Detail'!$A:$A,'Final Summary '!$A6)</f>
        <v>3.0632940456145685E-2</v>
      </c>
      <c r="Q6" s="5">
        <f>AVERAGEIFS('Final Dist Detail'!P:P,'Final Dist Detail'!$A:$A,'Final Summary '!$A6)</f>
        <v>5.69289249451502E-2</v>
      </c>
      <c r="R6" s="5">
        <f>AVERAGEIFS('Final Dist Detail'!Q:Q,'Final Dist Detail'!$A:$A,'Final Summary '!$A6)</f>
        <v>6.1776111026072666E-2</v>
      </c>
      <c r="S6" s="5">
        <f>AVERAGEIFS('Final Dist Detail'!R:R,'Final Dist Detail'!$A:$A,'Final Summary '!$A6)</f>
        <v>2.9242563396091586E-2</v>
      </c>
      <c r="T6" s="5">
        <f>AVERAGEIFS('Final Dist Detail'!S:S,'Final Dist Detail'!$A:$A,'Final Summary '!$A6)</f>
        <v>1.7092708811674037E-3</v>
      </c>
      <c r="U6" s="5">
        <f>AVERAGEIFS('Final Dist Detail'!T:T,'Final Dist Detail'!$A:$A,'Final Summary '!$A6)</f>
        <v>6.9365783968569752E-2</v>
      </c>
      <c r="V6" s="5">
        <f>AVERAGEIFS('Final Dist Detail'!U:U,'Final Dist Detail'!$A:$A,'Final Summary '!$A6)</f>
        <v>7.3772896576355843E-2</v>
      </c>
      <c r="W6" s="5">
        <f>AVERAGEIFS('Final Dist Detail'!V:V,'Final Dist Detail'!$A:$A,'Final Summary '!$A6)</f>
        <v>5.5436501862339886E-2</v>
      </c>
      <c r="X6" s="5">
        <f>AVERAGEIFS('Final Dist Detail'!W:W,'Final Dist Detail'!$A:$A,'Final Summary '!$A6)</f>
        <v>4.3267513648655505E-2</v>
      </c>
      <c r="Y6" s="5">
        <f>AVERAGEIFS('Final Dist Detail'!X:X,'Final Dist Detail'!$A:$A,'Final Summary '!$A6)</f>
        <v>9.6178376447777665E-3</v>
      </c>
      <c r="Z6" s="5">
        <f>AVERAGEIFS('Final Dist Detail'!Y:Y,'Final Dist Detail'!$A:$A,'Final Summary '!$A6)</f>
        <v>1.2462370529108605E-2</v>
      </c>
      <c r="AA6" s="5">
        <f>AVERAGEIFS('Final Dist Detail'!Z:Z,'Final Dist Detail'!$A:$A,'Final Summary '!$A6)</f>
        <v>3.4695647737129401E-3</v>
      </c>
      <c r="AB6" s="5">
        <f>AVERAGEIFS('Final Dist Detail'!AA:AA,'Final Dist Detail'!$A:$A,'Final Summary '!$A6)</f>
        <v>2.3202714424205292E-2</v>
      </c>
      <c r="AC6" s="5">
        <f>AVERAGEIFS('Final Dist Detail'!AB:AB,'Final Dist Detail'!$A:$A,'Final Summary '!$A6)</f>
        <v>4.9811214857900868E-3</v>
      </c>
    </row>
    <row r="7" spans="1:29" x14ac:dyDescent="0.25">
      <c r="A7" s="1">
        <v>7</v>
      </c>
      <c r="B7" s="11">
        <v>38152</v>
      </c>
      <c r="C7" s="9" t="s">
        <v>37</v>
      </c>
      <c r="D7" s="5">
        <f>AVERAGEIFS('Final Dist Detail'!C:C,'Final Dist Detail'!$A:$A,'Final Summary '!$A7)</f>
        <v>8.550759368540857E-2</v>
      </c>
      <c r="E7" s="5">
        <f>AVERAGEIFS('Final Dist Detail'!D:D,'Final Dist Detail'!$A:$A,'Final Summary '!$A7)</f>
        <v>2.3331486085732236E-2</v>
      </c>
      <c r="F7" s="5">
        <f>AVERAGEIFS('Final Dist Detail'!E:E,'Final Dist Detail'!$A:$A,'Final Summary '!$A7)</f>
        <v>3.7358086451187704E-2</v>
      </c>
      <c r="G7" s="5">
        <f>AVERAGEIFS('Final Dist Detail'!F:F,'Final Dist Detail'!$A:$A,'Final Summary '!$A7)</f>
        <v>3.9432495581583384E-2</v>
      </c>
      <c r="H7" s="5">
        <f>AVERAGEIFS('Final Dist Detail'!G:G,'Final Dist Detail'!$A:$A,'Final Summary '!$A7)</f>
        <v>0.11692702872719611</v>
      </c>
      <c r="I7" s="5">
        <f>AVERAGEIFS('Final Dist Detail'!H:H,'Final Dist Detail'!$A:$A,'Final Summary '!$A7)</f>
        <v>1.5007638618458472E-2</v>
      </c>
      <c r="J7" s="5">
        <f>AVERAGEIFS('Final Dist Detail'!I:I,'Final Dist Detail'!$A:$A,'Final Summary '!$A7)</f>
        <v>2.9300092861636123E-2</v>
      </c>
      <c r="K7" s="5">
        <f>AVERAGEIFS('Final Dist Detail'!J:J,'Final Dist Detail'!$A:$A,'Final Summary '!$A7)</f>
        <v>2.5117574813527811E-2</v>
      </c>
      <c r="L7" s="5">
        <f>AVERAGEIFS('Final Dist Detail'!K:K,'Final Dist Detail'!$A:$A,'Final Summary '!$A7)</f>
        <v>7.7015247281550209E-2</v>
      </c>
      <c r="M7" s="5">
        <f>AVERAGEIFS('Final Dist Detail'!L:L,'Final Dist Detail'!$A:$A,'Final Summary '!$A7)</f>
        <v>2.7334271934817073E-3</v>
      </c>
      <c r="N7" s="5">
        <f>AVERAGEIFS('Final Dist Detail'!M:M,'Final Dist Detail'!$A:$A,'Final Summary '!$A7)</f>
        <v>1.3936734265943707E-2</v>
      </c>
      <c r="O7" s="5">
        <f>AVERAGEIFS('Final Dist Detail'!N:N,'Final Dist Detail'!$A:$A,'Final Summary '!$A7)</f>
        <v>5.649207680555967E-2</v>
      </c>
      <c r="P7" s="5">
        <f>AVERAGEIFS('Final Dist Detail'!O:O,'Final Dist Detail'!$A:$A,'Final Summary '!$A7)</f>
        <v>2.9453614114968656E-2</v>
      </c>
      <c r="Q7" s="5">
        <f>AVERAGEIFS('Final Dist Detail'!P:P,'Final Dist Detail'!$A:$A,'Final Summary '!$A7)</f>
        <v>6.0805649582122541E-2</v>
      </c>
      <c r="R7" s="5">
        <f>AVERAGEIFS('Final Dist Detail'!Q:Q,'Final Dist Detail'!$A:$A,'Final Summary '!$A7)</f>
        <v>6.1517089536590297E-2</v>
      </c>
      <c r="S7" s="5">
        <f>AVERAGEIFS('Final Dist Detail'!R:R,'Final Dist Detail'!$A:$A,'Final Summary '!$A7)</f>
        <v>2.9704490309438919E-2</v>
      </c>
      <c r="T7" s="5">
        <f>AVERAGEIFS('Final Dist Detail'!S:S,'Final Dist Detail'!$A:$A,'Final Summary '!$A7)</f>
        <v>1.8647215648683428E-3</v>
      </c>
      <c r="U7" s="5">
        <f>AVERAGEIFS('Final Dist Detail'!T:T,'Final Dist Detail'!$A:$A,'Final Summary '!$A7)</f>
        <v>7.2102567174909343E-2</v>
      </c>
      <c r="V7" s="5">
        <f>AVERAGEIFS('Final Dist Detail'!U:U,'Final Dist Detail'!$A:$A,'Final Summary '!$A7)</f>
        <v>7.7224934847077778E-2</v>
      </c>
      <c r="W7" s="5">
        <f>AVERAGEIFS('Final Dist Detail'!V:V,'Final Dist Detail'!$A:$A,'Final Summary '!$A7)</f>
        <v>5.8244465746038351E-2</v>
      </c>
      <c r="X7" s="5">
        <f>AVERAGEIFS('Final Dist Detail'!W:W,'Final Dist Detail'!$A:$A,'Final Summary '!$A7)</f>
        <v>4.0293712368570787E-2</v>
      </c>
      <c r="Y7" s="5">
        <f>AVERAGEIFS('Final Dist Detail'!X:X,'Final Dist Detail'!$A:$A,'Final Summary '!$A7)</f>
        <v>8.9454213222298525E-3</v>
      </c>
      <c r="Z7" s="5">
        <f>AVERAGEIFS('Final Dist Detail'!Y:Y,'Final Dist Detail'!$A:$A,'Final Summary '!$A7)</f>
        <v>1.1806158823353176E-2</v>
      </c>
      <c r="AA7" s="5">
        <f>AVERAGEIFS('Final Dist Detail'!Z:Z,'Final Dist Detail'!$A:$A,'Final Summary '!$A7)</f>
        <v>3.1340802204714935E-3</v>
      </c>
      <c r="AB7" s="5">
        <f>AVERAGEIFS('Final Dist Detail'!AA:AA,'Final Dist Detail'!$A:$A,'Final Summary '!$A7)</f>
        <v>1.8388850612587212E-2</v>
      </c>
      <c r="AC7" s="5">
        <f>AVERAGEIFS('Final Dist Detail'!AB:AB,'Final Dist Detail'!$A:$A,'Final Summary '!$A7)</f>
        <v>4.3547614055057934E-3</v>
      </c>
    </row>
    <row r="8" spans="1:29" x14ac:dyDescent="0.25">
      <c r="A8" s="1">
        <v>8</v>
      </c>
      <c r="B8" s="11">
        <v>48064</v>
      </c>
      <c r="C8" s="9" t="s">
        <v>0</v>
      </c>
      <c r="D8" s="5">
        <f>AVERAGEIFS('Final Dist Detail'!C:C,'Final Dist Detail'!$A:$A,'Final Summary '!$A8)</f>
        <v>8.217168774966703E-2</v>
      </c>
      <c r="E8" s="5">
        <f>AVERAGEIFS('Final Dist Detail'!D:D,'Final Dist Detail'!$A:$A,'Final Summary '!$A8)</f>
        <v>2.1648219041278262E-2</v>
      </c>
      <c r="F8" s="5">
        <f>AVERAGEIFS('Final Dist Detail'!E:E,'Final Dist Detail'!$A:$A,'Final Summary '!$A8)</f>
        <v>3.8565766478029243E-2</v>
      </c>
      <c r="G8" s="5">
        <f>AVERAGEIFS('Final Dist Detail'!F:F,'Final Dist Detail'!$A:$A,'Final Summary '!$A8)</f>
        <v>3.9059899300931969E-2</v>
      </c>
      <c r="H8" s="5">
        <f>AVERAGEIFS('Final Dist Detail'!G:G,'Final Dist Detail'!$A:$A,'Final Summary '!$A8)</f>
        <v>0.11627985602529924</v>
      </c>
      <c r="I8" s="5">
        <f>AVERAGEIFS('Final Dist Detail'!H:H,'Final Dist Detail'!$A:$A,'Final Summary '!$A8)</f>
        <v>1.4504098701731005E-2</v>
      </c>
      <c r="J8" s="5">
        <f>AVERAGEIFS('Final Dist Detail'!I:I,'Final Dist Detail'!$A:$A,'Final Summary '!$A8)</f>
        <v>2.6974450732356808E-2</v>
      </c>
      <c r="K8" s="5">
        <f>AVERAGEIFS('Final Dist Detail'!J:J,'Final Dist Detail'!$A:$A,'Final Summary '!$A8)</f>
        <v>2.4704040446071857E-2</v>
      </c>
      <c r="L8" s="5">
        <f>AVERAGEIFS('Final Dist Detail'!K:K,'Final Dist Detail'!$A:$A,'Final Summary '!$A8)</f>
        <v>8.0993571071903969E-2</v>
      </c>
      <c r="M8" s="5">
        <f>AVERAGEIFS('Final Dist Detail'!L:L,'Final Dist Detail'!$A:$A,'Final Summary '!$A8)</f>
        <v>1.7528711717709694E-3</v>
      </c>
      <c r="N8" s="5">
        <f>AVERAGEIFS('Final Dist Detail'!M:M,'Final Dist Detail'!$A:$A,'Final Summary '!$A8)</f>
        <v>1.2582182090545905E-2</v>
      </c>
      <c r="O8" s="5">
        <f>AVERAGEIFS('Final Dist Detail'!N:N,'Final Dist Detail'!$A:$A,'Final Summary '!$A8)</f>
        <v>5.7680904627163743E-2</v>
      </c>
      <c r="P8" s="5">
        <f>AVERAGEIFS('Final Dist Detail'!O:O,'Final Dist Detail'!$A:$A,'Final Summary '!$A8)</f>
        <v>2.9783205725699011E-2</v>
      </c>
      <c r="Q8" s="5">
        <f>AVERAGEIFS('Final Dist Detail'!P:P,'Final Dist Detail'!$A:$A,'Final Summary '!$A8)</f>
        <v>6.3399841877496518E-2</v>
      </c>
      <c r="R8" s="5">
        <f>AVERAGEIFS('Final Dist Detail'!Q:Q,'Final Dist Detail'!$A:$A,'Final Summary '!$A8)</f>
        <v>6.550640812250326E-2</v>
      </c>
      <c r="S8" s="5">
        <f>AVERAGEIFS('Final Dist Detail'!R:R,'Final Dist Detail'!$A:$A,'Final Summary '!$A8)</f>
        <v>2.8727321904127811E-2</v>
      </c>
      <c r="T8" s="5">
        <f>AVERAGEIFS('Final Dist Detail'!S:S,'Final Dist Detail'!$A:$A,'Final Summary '!$A8)</f>
        <v>1.869902629826893E-3</v>
      </c>
      <c r="U8" s="5">
        <f>AVERAGEIFS('Final Dist Detail'!T:T,'Final Dist Detail'!$A:$A,'Final Summary '!$A8)</f>
        <v>7.2005555093208995E-2</v>
      </c>
      <c r="V8" s="5">
        <f>AVERAGEIFS('Final Dist Detail'!U:U,'Final Dist Detail'!$A:$A,'Final Summary '!$A8)</f>
        <v>7.8689351697736151E-2</v>
      </c>
      <c r="W8" s="5">
        <f>AVERAGEIFS('Final Dist Detail'!V:V,'Final Dist Detail'!$A:$A,'Final Summary '!$A8)</f>
        <v>6.1048809920106487E-2</v>
      </c>
      <c r="X8" s="5">
        <f>AVERAGEIFS('Final Dist Detail'!W:W,'Final Dist Detail'!$A:$A,'Final Summary '!$A8)</f>
        <v>3.7559295938748301E-2</v>
      </c>
      <c r="Y8" s="5">
        <f>AVERAGEIFS('Final Dist Detail'!X:X,'Final Dist Detail'!$A:$A,'Final Summary '!$A8)</f>
        <v>9.505555093209021E-3</v>
      </c>
      <c r="Z8" s="5">
        <f>AVERAGEIFS('Final Dist Detail'!Y:Y,'Final Dist Detail'!$A:$A,'Final Summary '!$A8)</f>
        <v>1.1104985019973349E-2</v>
      </c>
      <c r="AA8" s="5">
        <f>AVERAGEIFS('Final Dist Detail'!Z:Z,'Final Dist Detail'!$A:$A,'Final Summary '!$A8)</f>
        <v>2.969998335552592E-3</v>
      </c>
      <c r="AB8" s="5">
        <f>AVERAGEIFS('Final Dist Detail'!AA:AA,'Final Dist Detail'!$A:$A,'Final Summary '!$A8)</f>
        <v>1.717241594540609E-2</v>
      </c>
      <c r="AC8" s="5">
        <f>AVERAGEIFS('Final Dist Detail'!AB:AB,'Final Dist Detail'!$A:$A,'Final Summary '!$A8)</f>
        <v>3.7398052596537903E-3</v>
      </c>
    </row>
    <row r="9" spans="1:29" x14ac:dyDescent="0.25">
      <c r="A9" s="1">
        <v>9</v>
      </c>
      <c r="B9" s="11">
        <v>49406</v>
      </c>
      <c r="C9" s="9" t="s">
        <v>38</v>
      </c>
      <c r="D9" s="5">
        <f>AVERAGEIFS('Final Dist Detail'!C:C,'Final Dist Detail'!$A:$A,'Final Summary '!$A9)</f>
        <v>7.9506762561452213E-2</v>
      </c>
      <c r="E9" s="5">
        <f>AVERAGEIFS('Final Dist Detail'!D:D,'Final Dist Detail'!$A:$A,'Final Summary '!$A9)</f>
        <v>1.9248674250091066E-2</v>
      </c>
      <c r="F9" s="5">
        <f>AVERAGEIFS('Final Dist Detail'!E:E,'Final Dist Detail'!$A:$A,'Final Summary '!$A9)</f>
        <v>4.0984675725395436E-2</v>
      </c>
      <c r="G9" s="5">
        <f>AVERAGEIFS('Final Dist Detail'!F:F,'Final Dist Detail'!$A:$A,'Final Summary '!$A9)</f>
        <v>3.664872012845935E-2</v>
      </c>
      <c r="H9" s="5">
        <f>AVERAGEIFS('Final Dist Detail'!G:G,'Final Dist Detail'!$A:$A,'Final Summary '!$A9)</f>
        <v>0.11554826899117027</v>
      </c>
      <c r="I9" s="5">
        <f>AVERAGEIFS('Final Dist Detail'!H:H,'Final Dist Detail'!$A:$A,'Final Summary '!$A9)</f>
        <v>1.312706059093134E-2</v>
      </c>
      <c r="J9" s="5">
        <f>AVERAGEIFS('Final Dist Detail'!I:I,'Final Dist Detail'!$A:$A,'Final Summary '!$A9)</f>
        <v>2.5120655610879419E-2</v>
      </c>
      <c r="K9" s="5">
        <f>AVERAGEIFS('Final Dist Detail'!J:J,'Final Dist Detail'!$A:$A,'Final Summary '!$A9)</f>
        <v>2.4911504225757494E-2</v>
      </c>
      <c r="L9" s="5">
        <f>AVERAGEIFS('Final Dist Detail'!K:K,'Final Dist Detail'!$A:$A,'Final Summary '!$A9)</f>
        <v>8.6053425809730619E-2</v>
      </c>
      <c r="M9" s="5">
        <f>AVERAGEIFS('Final Dist Detail'!L:L,'Final Dist Detail'!$A:$A,'Final Summary '!$A9)</f>
        <v>1.5000427298528722E-3</v>
      </c>
      <c r="N9" s="5">
        <f>AVERAGEIFS('Final Dist Detail'!M:M,'Final Dist Detail'!$A:$A,'Final Summary '!$A9)</f>
        <v>9.8076257044803217E-3</v>
      </c>
      <c r="O9" s="5">
        <f>AVERAGEIFS('Final Dist Detail'!N:N,'Final Dist Detail'!$A:$A,'Final Summary '!$A9)</f>
        <v>5.5533066159305824E-2</v>
      </c>
      <c r="P9" s="5">
        <f>AVERAGEIFS('Final Dist Detail'!O:O,'Final Dist Detail'!$A:$A,'Final Summary '!$A9)</f>
        <v>2.9946880046058239E-2</v>
      </c>
      <c r="Q9" s="5">
        <f>AVERAGEIFS('Final Dist Detail'!P:P,'Final Dist Detail'!$A:$A,'Final Summary '!$A9)</f>
        <v>6.6813747318139369E-2</v>
      </c>
      <c r="R9" s="5">
        <f>AVERAGEIFS('Final Dist Detail'!Q:Q,'Final Dist Detail'!$A:$A,'Final Summary '!$A9)</f>
        <v>6.7537905877378679E-2</v>
      </c>
      <c r="S9" s="5">
        <f>AVERAGEIFS('Final Dist Detail'!R:R,'Final Dist Detail'!$A:$A,'Final Summary '!$A9)</f>
        <v>3.0086314302806196E-2</v>
      </c>
      <c r="T9" s="5">
        <f>AVERAGEIFS('Final Dist Detail'!S:S,'Final Dist Detail'!$A:$A,'Final Summary '!$A9)</f>
        <v>1.7721644244738585E-3</v>
      </c>
      <c r="U9" s="5">
        <f>AVERAGEIFS('Final Dist Detail'!T:T,'Final Dist Detail'!$A:$A,'Final Summary '!$A9)</f>
        <v>7.2838656573425614E-2</v>
      </c>
      <c r="V9" s="5">
        <f>AVERAGEIFS('Final Dist Detail'!U:U,'Final Dist Detail'!$A:$A,'Final Summary '!$A9)</f>
        <v>7.8449760937717689E-2</v>
      </c>
      <c r="W9" s="5">
        <f>AVERAGEIFS('Final Dist Detail'!V:V,'Final Dist Detail'!$A:$A,'Final Summary '!$A9)</f>
        <v>6.5032587135165729E-2</v>
      </c>
      <c r="X9" s="5">
        <f>AVERAGEIFS('Final Dist Detail'!W:W,'Final Dist Detail'!$A:$A,'Final Summary '!$A9)</f>
        <v>3.6790403324832292E-2</v>
      </c>
      <c r="Y9" s="5">
        <f>AVERAGEIFS('Final Dist Detail'!X:X,'Final Dist Detail'!$A:$A,'Final Summary '!$A9)</f>
        <v>9.4657868814853642E-3</v>
      </c>
      <c r="Z9" s="5">
        <f>AVERAGEIFS('Final Dist Detail'!Y:Y,'Final Dist Detail'!$A:$A,'Final Summary '!$A9)</f>
        <v>8.8428306053695508E-3</v>
      </c>
      <c r="AA9" s="5">
        <f>AVERAGEIFS('Final Dist Detail'!Z:Z,'Final Dist Detail'!$A:$A,'Final Summary '!$A9)</f>
        <v>3.2024900259527596E-3</v>
      </c>
      <c r="AB9" s="5">
        <f>AVERAGEIFS('Final Dist Detail'!AA:AA,'Final Dist Detail'!$A:$A,'Final Summary '!$A9)</f>
        <v>1.7188645553621443E-2</v>
      </c>
      <c r="AC9" s="5">
        <f>AVERAGEIFS('Final Dist Detail'!AB:AB,'Final Dist Detail'!$A:$A,'Final Summary '!$A9)</f>
        <v>4.0413445060653863E-3</v>
      </c>
    </row>
    <row r="10" spans="1:29" x14ac:dyDescent="0.25">
      <c r="A10" s="1">
        <v>10</v>
      </c>
      <c r="B10" s="11">
        <v>42994</v>
      </c>
      <c r="C10" s="9" t="s">
        <v>39</v>
      </c>
      <c r="D10" s="5">
        <f>AVERAGEIFS('Final Dist Detail'!C:C,'Final Dist Detail'!$A:$A,'Final Summary '!$A10)</f>
        <v>7.7310787551751248E-2</v>
      </c>
      <c r="E10" s="5">
        <f>AVERAGEIFS('Final Dist Detail'!D:D,'Final Dist Detail'!$A:$A,'Final Summary '!$A10)</f>
        <v>1.8314183374424312E-2</v>
      </c>
      <c r="F10" s="5">
        <f>AVERAGEIFS('Final Dist Detail'!E:E,'Final Dist Detail'!$A:$A,'Final Summary '!$A10)</f>
        <v>4.3089733451179196E-2</v>
      </c>
      <c r="G10" s="5">
        <f>AVERAGEIFS('Final Dist Detail'!F:F,'Final Dist Detail'!$A:$A,'Final Summary '!$A10)</f>
        <v>3.5004884402474637E-2</v>
      </c>
      <c r="H10" s="5">
        <f>AVERAGEIFS('Final Dist Detail'!G:G,'Final Dist Detail'!$A:$A,'Final Summary '!$A10)</f>
        <v>0.11363911243429277</v>
      </c>
      <c r="I10" s="5">
        <f>AVERAGEIFS('Final Dist Detail'!H:H,'Final Dist Detail'!$A:$A,'Final Summary '!$A10)</f>
        <v>1.2013304181978856E-2</v>
      </c>
      <c r="J10" s="5">
        <f>AVERAGEIFS('Final Dist Detail'!I:I,'Final Dist Detail'!$A:$A,'Final Summary '!$A10)</f>
        <v>2.5298878913336709E-2</v>
      </c>
      <c r="K10" s="5">
        <f>AVERAGEIFS('Final Dist Detail'!J:J,'Final Dist Detail'!$A:$A,'Final Summary '!$A10)</f>
        <v>2.5001162952970134E-2</v>
      </c>
      <c r="L10" s="5">
        <f>AVERAGEIFS('Final Dist Detail'!K:K,'Final Dist Detail'!$A:$A,'Final Summary '!$A10)</f>
        <v>9.0719635297948381E-2</v>
      </c>
      <c r="M10" s="5">
        <f>AVERAGEIFS('Final Dist Detail'!L:L,'Final Dist Detail'!$A:$A,'Final Summary '!$A10)</f>
        <v>1.2304042424524325E-3</v>
      </c>
      <c r="N10" s="5">
        <f>AVERAGEIFS('Final Dist Detail'!M:M,'Final Dist Detail'!$A:$A,'Final Summary '!$A10)</f>
        <v>7.0149323161371162E-3</v>
      </c>
      <c r="O10" s="5">
        <f>AVERAGEIFS('Final Dist Detail'!N:N,'Final Dist Detail'!$A:$A,'Final Summary '!$A10)</f>
        <v>5.5247243801460635E-2</v>
      </c>
      <c r="P10" s="5">
        <f>AVERAGEIFS('Final Dist Detail'!O:O,'Final Dist Detail'!$A:$A,'Final Summary '!$A10)</f>
        <v>3.0550774526678093E-2</v>
      </c>
      <c r="Q10" s="5">
        <f>AVERAGEIFS('Final Dist Detail'!P:P,'Final Dist Detail'!$A:$A,'Final Summary '!$A10)</f>
        <v>7.1914685770107373E-2</v>
      </c>
      <c r="R10" s="5">
        <f>AVERAGEIFS('Final Dist Detail'!Q:Q,'Final Dist Detail'!$A:$A,'Final Summary '!$A10)</f>
        <v>7.07307996464622E-2</v>
      </c>
      <c r="S10" s="5">
        <f>AVERAGEIFS('Final Dist Detail'!R:R,'Final Dist Detail'!$A:$A,'Final Summary '!$A10)</f>
        <v>3.1753267897846119E-2</v>
      </c>
      <c r="T10" s="5">
        <f>AVERAGEIFS('Final Dist Detail'!S:S,'Final Dist Detail'!$A:$A,'Final Summary '!$A10)</f>
        <v>1.6723263711215484E-3</v>
      </c>
      <c r="U10" s="5">
        <f>AVERAGEIFS('Final Dist Detail'!T:T,'Final Dist Detail'!$A:$A,'Final Summary '!$A10)</f>
        <v>7.2812485463087828E-2</v>
      </c>
      <c r="V10" s="5">
        <f>AVERAGEIFS('Final Dist Detail'!U:U,'Final Dist Detail'!$A:$A,'Final Summary '!$A10)</f>
        <v>6.9823696329720311E-2</v>
      </c>
      <c r="W10" s="5">
        <f>AVERAGEIFS('Final Dist Detail'!V:V,'Final Dist Detail'!$A:$A,'Final Summary '!$A10)</f>
        <v>6.7076801414150775E-2</v>
      </c>
      <c r="X10" s="5">
        <f>AVERAGEIFS('Final Dist Detail'!W:W,'Final Dist Detail'!$A:$A,'Final Summary '!$A10)</f>
        <v>3.7554077313113422E-2</v>
      </c>
      <c r="Y10" s="5">
        <f>AVERAGEIFS('Final Dist Detail'!X:X,'Final Dist Detail'!$A:$A,'Final Summary '!$A10)</f>
        <v>9.6362283109270794E-3</v>
      </c>
      <c r="Z10" s="5">
        <f>AVERAGEIFS('Final Dist Detail'!Y:Y,'Final Dist Detail'!$A:$A,'Final Summary '!$A10)</f>
        <v>6.4846257617341887E-3</v>
      </c>
      <c r="AA10" s="5">
        <f>AVERAGEIFS('Final Dist Detail'!Z:Z,'Final Dist Detail'!$A:$A,'Final Summary '!$A10)</f>
        <v>3.0748476531609016E-3</v>
      </c>
      <c r="AB10" s="5">
        <f>AVERAGEIFS('Final Dist Detail'!AA:AA,'Final Dist Detail'!$A:$A,'Final Summary '!$A10)</f>
        <v>1.9025910592175628E-2</v>
      </c>
      <c r="AC10" s="5">
        <f>AVERAGEIFS('Final Dist Detail'!AB:AB,'Final Dist Detail'!$A:$A,'Final Summary '!$A10)</f>
        <v>4.0052100293064049E-3</v>
      </c>
    </row>
    <row r="11" spans="1:29" x14ac:dyDescent="0.25">
      <c r="A11" s="1">
        <v>11</v>
      </c>
      <c r="B11" s="11">
        <v>35671</v>
      </c>
      <c r="C11" s="9" t="s">
        <v>40</v>
      </c>
      <c r="D11" s="5">
        <f>AVERAGEIFS('Final Dist Detail'!C:C,'Final Dist Detail'!$A:$A,'Final Summary '!$A11)</f>
        <v>7.8056786643593695E-2</v>
      </c>
      <c r="E11" s="5">
        <f>AVERAGEIFS('Final Dist Detail'!D:D,'Final Dist Detail'!$A:$A,'Final Summary '!$A11)</f>
        <v>1.6909585326506597E-2</v>
      </c>
      <c r="F11" s="5">
        <f>AVERAGEIFS('Final Dist Detail'!E:E,'Final Dist Detail'!$A:$A,'Final Summary '!$A11)</f>
        <v>4.6141377895463805E-2</v>
      </c>
      <c r="G11" s="5">
        <f>AVERAGEIFS('Final Dist Detail'!F:F,'Final Dist Detail'!$A:$A,'Final Summary '!$A11)</f>
        <v>3.1573903935205795E-2</v>
      </c>
      <c r="H11" s="5">
        <f>AVERAGEIFS('Final Dist Detail'!G:G,'Final Dist Detail'!$A:$A,'Final Summary '!$A11)</f>
        <v>0.10801491407585974</v>
      </c>
      <c r="I11" s="5">
        <f>AVERAGEIFS('Final Dist Detail'!H:H,'Final Dist Detail'!$A:$A,'Final Summary '!$A11)</f>
        <v>1.0729367629931076E-2</v>
      </c>
      <c r="J11" s="5">
        <f>AVERAGEIFS('Final Dist Detail'!I:I,'Final Dist Detail'!$A:$A,'Final Summary '!$A11)</f>
        <v>2.4333492192537307E-2</v>
      </c>
      <c r="K11" s="5">
        <f>AVERAGEIFS('Final Dist Detail'!J:J,'Final Dist Detail'!$A:$A,'Final Summary '!$A11)</f>
        <v>2.5676574553813728E-2</v>
      </c>
      <c r="L11" s="5">
        <f>AVERAGEIFS('Final Dist Detail'!K:K,'Final Dist Detail'!$A:$A,'Final Summary '!$A11)</f>
        <v>9.5096347682481902E-2</v>
      </c>
      <c r="M11" s="5">
        <f>AVERAGEIFS('Final Dist Detail'!L:L,'Final Dist Detail'!$A:$A,'Final Summary '!$A11)</f>
        <v>9.5315522413164523E-4</v>
      </c>
      <c r="N11" s="5">
        <f>AVERAGEIFS('Final Dist Detail'!M:M,'Final Dist Detail'!$A:$A,'Final Summary '!$A11)</f>
        <v>4.9084945499399783E-3</v>
      </c>
      <c r="O11" s="5">
        <f>AVERAGEIFS('Final Dist Detail'!N:N,'Final Dist Detail'!$A:$A,'Final Summary '!$A11)</f>
        <v>5.433239631888389E-2</v>
      </c>
      <c r="P11" s="5">
        <f>AVERAGEIFS('Final Dist Detail'!O:O,'Final Dist Detail'!$A:$A,'Final Summary '!$A11)</f>
        <v>3.0164559446048563E-2</v>
      </c>
      <c r="Q11" s="5">
        <f>AVERAGEIFS('Final Dist Detail'!P:P,'Final Dist Detail'!$A:$A,'Final Summary '!$A11)</f>
        <v>7.5793680122126117E-2</v>
      </c>
      <c r="R11" s="5">
        <f>AVERAGEIFS('Final Dist Detail'!Q:Q,'Final Dist Detail'!$A:$A,'Final Summary '!$A11)</f>
        <v>7.3204360048014325E-2</v>
      </c>
      <c r="S11" s="5">
        <f>AVERAGEIFS('Final Dist Detail'!R:R,'Final Dist Detail'!$A:$A,'Final Summary '!$A11)</f>
        <v>3.382171919639318E-2</v>
      </c>
      <c r="T11" s="5">
        <f>AVERAGEIFS('Final Dist Detail'!S:S,'Final Dist Detail'!$A:$A,'Final Summary '!$A11)</f>
        <v>1.6106794161796804E-3</v>
      </c>
      <c r="U11" s="5">
        <f>AVERAGEIFS('Final Dist Detail'!T:T,'Final Dist Detail'!$A:$A,'Final Summary '!$A11)</f>
        <v>7.3122806659853476E-2</v>
      </c>
      <c r="V11" s="5">
        <f>AVERAGEIFS('Final Dist Detail'!U:U,'Final Dist Detail'!$A:$A,'Final Summary '!$A11)</f>
        <v>6.7419166575343761E-2</v>
      </c>
      <c r="W11" s="5">
        <f>AVERAGEIFS('Final Dist Detail'!V:V,'Final Dist Detail'!$A:$A,'Final Summary '!$A11)</f>
        <v>6.9692467270331543E-2</v>
      </c>
      <c r="X11" s="5">
        <f>AVERAGEIFS('Final Dist Detail'!W:W,'Final Dist Detail'!$A:$A,'Final Summary '!$A11)</f>
        <v>3.7483976033497998E-2</v>
      </c>
      <c r="Y11" s="5">
        <f>AVERAGEIFS('Final Dist Detail'!X:X,'Final Dist Detail'!$A:$A,'Final Summary '!$A11)</f>
        <v>9.8756055976206413E-3</v>
      </c>
      <c r="Z11" s="5">
        <f>AVERAGEIFS('Final Dist Detail'!Y:Y,'Final Dist Detail'!$A:$A,'Final Summary '!$A11)</f>
        <v>4.4599509150544938E-3</v>
      </c>
      <c r="AA11" s="5">
        <f>AVERAGEIFS('Final Dist Detail'!Z:Z,'Final Dist Detail'!$A:$A,'Final Summary '!$A11)</f>
        <v>3.0837374898376709E-3</v>
      </c>
      <c r="AB11" s="5">
        <f>AVERAGEIFS('Final Dist Detail'!AA:AA,'Final Dist Detail'!$A:$A,'Final Summary '!$A11)</f>
        <v>1.9598298592439448E-2</v>
      </c>
      <c r="AC11" s="5">
        <f>AVERAGEIFS('Final Dist Detail'!AB:AB,'Final Dist Detail'!$A:$A,'Final Summary '!$A11)</f>
        <v>3.9425966089081657E-3</v>
      </c>
    </row>
    <row r="12" spans="1:29" x14ac:dyDescent="0.25">
      <c r="A12" s="1">
        <v>12</v>
      </c>
      <c r="B12" s="11">
        <v>27883</v>
      </c>
      <c r="C12" s="9" t="s">
        <v>41</v>
      </c>
      <c r="D12" s="5">
        <f>AVERAGEIFS('Final Dist Detail'!C:C,'Final Dist Detail'!$A:$A,'Final Summary '!$A12)</f>
        <v>7.7526330260971318E-2</v>
      </c>
      <c r="E12" s="5">
        <f>AVERAGEIFS('Final Dist Detail'!D:D,'Final Dist Detail'!$A:$A,'Final Summary '!$A12)</f>
        <v>1.564872263864479E-2</v>
      </c>
      <c r="F12" s="5">
        <f>AVERAGEIFS('Final Dist Detail'!E:E,'Final Dist Detail'!$A:$A,'Final Summary '!$A12)</f>
        <v>4.7603677270499301E-2</v>
      </c>
      <c r="G12" s="5">
        <f>AVERAGEIFS('Final Dist Detail'!F:F,'Final Dist Detail'!$A:$A,'Final Summary '!$A12)</f>
        <v>2.8272902246291007E-2</v>
      </c>
      <c r="H12" s="5">
        <f>AVERAGEIFS('Final Dist Detail'!G:G,'Final Dist Detail'!$A:$A,'Final Summary '!$A12)</f>
        <v>0.10485182130091196</v>
      </c>
      <c r="I12" s="5">
        <f>AVERAGEIFS('Final Dist Detail'!H:H,'Final Dist Detail'!$A:$A,'Final Summary '!$A12)</f>
        <v>9.7042403376011461E-3</v>
      </c>
      <c r="J12" s="5">
        <f>AVERAGEIFS('Final Dist Detail'!I:I,'Final Dist Detail'!$A:$A,'Final Summary '!$A12)</f>
        <v>2.2932133079893311E-2</v>
      </c>
      <c r="K12" s="5">
        <f>AVERAGEIFS('Final Dist Detail'!J:J,'Final Dist Detail'!$A:$A,'Final Summary '!$A12)</f>
        <v>2.557113653480611E-2</v>
      </c>
      <c r="L12" s="5">
        <f>AVERAGEIFS('Final Dist Detail'!K:K,'Final Dist Detail'!$A:$A,'Final Summary '!$A12)</f>
        <v>9.6818252459682466E-2</v>
      </c>
      <c r="M12" s="5">
        <f>AVERAGEIFS('Final Dist Detail'!L:L,'Final Dist Detail'!$A:$A,'Final Summary '!$A12)</f>
        <v>8.159093354373621E-4</v>
      </c>
      <c r="N12" s="5">
        <f>AVERAGEIFS('Final Dist Detail'!M:M,'Final Dist Detail'!$A:$A,'Final Summary '!$A12)</f>
        <v>3.2367392317899746E-3</v>
      </c>
      <c r="O12" s="5">
        <f>AVERAGEIFS('Final Dist Detail'!N:N,'Final Dist Detail'!$A:$A,'Final Summary '!$A12)</f>
        <v>5.5042499013735868E-2</v>
      </c>
      <c r="P12" s="5">
        <f>AVERAGEIFS('Final Dist Detail'!O:O,'Final Dist Detail'!$A:$A,'Final Summary '!$A12)</f>
        <v>2.9513203983311184E-2</v>
      </c>
      <c r="Q12" s="5">
        <f>AVERAGEIFS('Final Dist Detail'!P:P,'Final Dist Detail'!$A:$A,'Final Summary '!$A12)</f>
        <v>7.9986012982820834E-2</v>
      </c>
      <c r="R12" s="5">
        <f>AVERAGEIFS('Final Dist Detail'!Q:Q,'Final Dist Detail'!$A:$A,'Final Summary '!$A12)</f>
        <v>7.6396609642673363E-2</v>
      </c>
      <c r="S12" s="5">
        <f>AVERAGEIFS('Final Dist Detail'!R:R,'Final Dist Detail'!$A:$A,'Final Summary '!$A12)</f>
        <v>3.4617867517842307E-2</v>
      </c>
      <c r="T12" s="5">
        <f>AVERAGEIFS('Final Dist Detail'!S:S,'Final Dist Detail'!$A:$A,'Final Summary '!$A12)</f>
        <v>1.6736601752561251E-3</v>
      </c>
      <c r="U12" s="5">
        <f>AVERAGEIFS('Final Dist Detail'!T:T,'Final Dist Detail'!$A:$A,'Final Summary '!$A12)</f>
        <v>7.1002044256356742E-2</v>
      </c>
      <c r="V12" s="5">
        <f>AVERAGEIFS('Final Dist Detail'!U:U,'Final Dist Detail'!$A:$A,'Final Summary '!$A12)</f>
        <v>6.8679840763188907E-2</v>
      </c>
      <c r="W12" s="5">
        <f>AVERAGEIFS('Final Dist Detail'!V:V,'Final Dist Detail'!$A:$A,'Final Summary '!$A12)</f>
        <v>7.1525063061124411E-2</v>
      </c>
      <c r="X12" s="5">
        <f>AVERAGEIFS('Final Dist Detail'!W:W,'Final Dist Detail'!$A:$A,'Final Summary '!$A12)</f>
        <v>3.8383602912168656E-2</v>
      </c>
      <c r="Y12" s="5">
        <f>AVERAGEIFS('Final Dist Detail'!X:X,'Final Dist Detail'!$A:$A,'Final Summary '!$A12)</f>
        <v>9.9283912539300644E-3</v>
      </c>
      <c r="Z12" s="5">
        <f>AVERAGEIFS('Final Dist Detail'!Y:Y,'Final Dist Detail'!$A:$A,'Final Summary '!$A12)</f>
        <v>2.6808449592941879E-3</v>
      </c>
      <c r="AA12" s="5">
        <f>AVERAGEIFS('Final Dist Detail'!Z:Z,'Final Dist Detail'!$A:$A,'Final Summary '!$A12)</f>
        <v>2.8780977656636571E-3</v>
      </c>
      <c r="AB12" s="5">
        <f>AVERAGEIFS('Final Dist Detail'!AA:AA,'Final Dist Detail'!$A:$A,'Final Summary '!$A12)</f>
        <v>2.0547167330153288E-2</v>
      </c>
      <c r="AC12" s="5">
        <f>AVERAGEIFS('Final Dist Detail'!AB:AB,'Final Dist Detail'!$A:$A,'Final Summary '!$A12)</f>
        <v>4.1632296859496131E-3</v>
      </c>
    </row>
    <row r="13" spans="1:29" x14ac:dyDescent="0.25">
      <c r="A13" s="1">
        <v>13</v>
      </c>
      <c r="B13" s="11">
        <v>20226</v>
      </c>
      <c r="C13" s="9" t="s">
        <v>42</v>
      </c>
      <c r="D13" s="5">
        <f>AVERAGEIFS('Final Dist Detail'!C:C,'Final Dist Detail'!$A:$A,'Final Summary '!$A13)</f>
        <v>7.8109668438947497E-2</v>
      </c>
      <c r="E13" s="5">
        <f>AVERAGEIFS('Final Dist Detail'!D:D,'Final Dist Detail'!$A:$A,'Final Summary '!$A13)</f>
        <v>1.509481322593156E-2</v>
      </c>
      <c r="F13" s="5">
        <f>AVERAGEIFS('Final Dist Detail'!E:E,'Final Dist Detail'!$A:$A,'Final Summary '!$A13)</f>
        <v>4.8783363378438978E-2</v>
      </c>
      <c r="G13" s="5">
        <f>AVERAGEIFS('Final Dist Detail'!F:F,'Final Dist Detail'!$A:$A,'Final Summary '!$A13)</f>
        <v>2.4735869292380679E-2</v>
      </c>
      <c r="H13" s="5">
        <f>AVERAGEIFS('Final Dist Detail'!G:G,'Final Dist Detail'!$A:$A,'Final Summary '!$A13)</f>
        <v>0.10074998668887704</v>
      </c>
      <c r="I13" s="5">
        <f>AVERAGEIFS('Final Dist Detail'!H:H,'Final Dist Detail'!$A:$A,'Final Summary '!$A13)</f>
        <v>9.1086111554814948E-3</v>
      </c>
      <c r="J13" s="5">
        <f>AVERAGEIFS('Final Dist Detail'!I:I,'Final Dist Detail'!$A:$A,'Final Summary '!$A13)</f>
        <v>2.0525751317801114E-2</v>
      </c>
      <c r="K13" s="5">
        <f>AVERAGEIFS('Final Dist Detail'!J:J,'Final Dist Detail'!$A:$A,'Final Summary '!$A13)</f>
        <v>2.4595151708767807E-2</v>
      </c>
      <c r="L13" s="5">
        <f>AVERAGEIFS('Final Dist Detail'!K:K,'Final Dist Detail'!$A:$A,'Final Summary '!$A13)</f>
        <v>0.10007302101636109</v>
      </c>
      <c r="M13" s="5">
        <f>AVERAGEIFS('Final Dist Detail'!L:L,'Final Dist Detail'!$A:$A,'Final Summary '!$A13)</f>
        <v>7.2640698567722839E-4</v>
      </c>
      <c r="N13" s="5">
        <f>AVERAGEIFS('Final Dist Detail'!M:M,'Final Dist Detail'!$A:$A,'Final Summary '!$A13)</f>
        <v>2.0308970175478597E-3</v>
      </c>
      <c r="O13" s="5">
        <f>AVERAGEIFS('Final Dist Detail'!N:N,'Final Dist Detail'!$A:$A,'Final Summary '!$A13)</f>
        <v>5.5815439381146831E-2</v>
      </c>
      <c r="P13" s="5">
        <f>AVERAGEIFS('Final Dist Detail'!O:O,'Final Dist Detail'!$A:$A,'Final Summary '!$A13)</f>
        <v>2.9025854003605363E-2</v>
      </c>
      <c r="Q13" s="5">
        <f>AVERAGEIFS('Final Dist Detail'!P:P,'Final Dist Detail'!$A:$A,'Final Summary '!$A13)</f>
        <v>8.32819904312041E-2</v>
      </c>
      <c r="R13" s="5">
        <f>AVERAGEIFS('Final Dist Detail'!Q:Q,'Final Dist Detail'!$A:$A,'Final Summary '!$A13)</f>
        <v>7.9425568004624525E-2</v>
      </c>
      <c r="S13" s="5">
        <f>AVERAGEIFS('Final Dist Detail'!R:R,'Final Dist Detail'!$A:$A,'Final Summary '!$A13)</f>
        <v>3.5978063269668077E-2</v>
      </c>
      <c r="T13" s="5">
        <f>AVERAGEIFS('Final Dist Detail'!S:S,'Final Dist Detail'!$A:$A,'Final Summary '!$A13)</f>
        <v>1.5516965976770157E-3</v>
      </c>
      <c r="U13" s="5">
        <f>AVERAGEIFS('Final Dist Detail'!T:T,'Final Dist Detail'!$A:$A,'Final Summary '!$A13)</f>
        <v>6.9233051137530435E-2</v>
      </c>
      <c r="V13" s="5">
        <f>AVERAGEIFS('Final Dist Detail'!U:U,'Final Dist Detail'!$A:$A,'Final Summary '!$A13)</f>
        <v>6.9647597532498023E-2</v>
      </c>
      <c r="W13" s="5">
        <f>AVERAGEIFS('Final Dist Detail'!V:V,'Final Dist Detail'!$A:$A,'Final Summary '!$A13)</f>
        <v>7.2811841574819819E-2</v>
      </c>
      <c r="X13" s="5">
        <f>AVERAGEIFS('Final Dist Detail'!W:W,'Final Dist Detail'!$A:$A,'Final Summary '!$A13)</f>
        <v>3.798614121960301E-2</v>
      </c>
      <c r="Y13" s="5">
        <f>AVERAGEIFS('Final Dist Detail'!X:X,'Final Dist Detail'!$A:$A,'Final Summary '!$A13)</f>
        <v>1.0184910511223147E-2</v>
      </c>
      <c r="Z13" s="5">
        <f>AVERAGEIFS('Final Dist Detail'!Y:Y,'Final Dist Detail'!$A:$A,'Final Summary '!$A13)</f>
        <v>1.6657919357415034E-3</v>
      </c>
      <c r="AA13" s="5">
        <f>AVERAGEIFS('Final Dist Detail'!Z:Z,'Final Dist Detail'!$A:$A,'Final Summary '!$A13)</f>
        <v>2.970281967612128E-3</v>
      </c>
      <c r="AB13" s="5">
        <f>AVERAGEIFS('Final Dist Detail'!AA:AA,'Final Dist Detail'!$A:$A,'Final Summary '!$A13)</f>
        <v>2.143851402231696E-2</v>
      </c>
      <c r="AC13" s="5">
        <f>AVERAGEIFS('Final Dist Detail'!AB:AB,'Final Dist Detail'!$A:$A,'Final Summary '!$A13)</f>
        <v>4.449718184514965E-3</v>
      </c>
    </row>
    <row r="14" spans="1:29" x14ac:dyDescent="0.25">
      <c r="A14" s="1">
        <v>14</v>
      </c>
      <c r="B14" s="11">
        <v>13819</v>
      </c>
      <c r="C14" s="10" t="s">
        <v>43</v>
      </c>
      <c r="D14" s="5">
        <f>AVERAGEIFS('Final Dist Detail'!C:C,'Final Dist Detail'!$A:$A,'Final Summary '!$A14)</f>
        <v>7.7719082422751162E-2</v>
      </c>
      <c r="E14" s="5">
        <f>AVERAGEIFS('Final Dist Detail'!D:D,'Final Dist Detail'!$A:$A,'Final Summary '!$A14)</f>
        <v>1.3909420776777284E-2</v>
      </c>
      <c r="F14" s="5">
        <f>AVERAGEIFS('Final Dist Detail'!E:E,'Final Dist Detail'!$A:$A,'Final Summary '!$A14)</f>
        <v>4.8814778824186111E-2</v>
      </c>
      <c r="G14" s="5">
        <f>AVERAGEIFS('Final Dist Detail'!F:F,'Final Dist Detail'!$A:$A,'Final Summary '!$A14)</f>
        <v>2.3089328357437433E-2</v>
      </c>
      <c r="H14" s="5">
        <f>AVERAGEIFS('Final Dist Detail'!G:G,'Final Dist Detail'!$A:$A,'Final Summary '!$A14)</f>
        <v>9.9200893180196897E-2</v>
      </c>
      <c r="I14" s="5">
        <f>AVERAGEIFS('Final Dist Detail'!H:H,'Final Dist Detail'!$A:$A,'Final Summary '!$A14)</f>
        <v>8.1823162726266958E-3</v>
      </c>
      <c r="J14" s="5">
        <f>AVERAGEIFS('Final Dist Detail'!I:I,'Final Dist Detail'!$A:$A,'Final Summary '!$A14)</f>
        <v>1.8814675446848509E-2</v>
      </c>
      <c r="K14" s="5">
        <f>AVERAGEIFS('Final Dist Detail'!J:J,'Final Dist Detail'!$A:$A,'Final Summary '!$A14)</f>
        <v>2.48002232950492E-2</v>
      </c>
      <c r="L14" s="5">
        <f>AVERAGEIFS('Final Dist Detail'!K:K,'Final Dist Detail'!$A:$A,'Final Summary '!$A14)</f>
        <v>9.9929703410418222E-2</v>
      </c>
      <c r="M14" s="5">
        <f>AVERAGEIFS('Final Dist Detail'!L:L,'Final Dist Detail'!$A:$A,'Final Summary '!$A14)</f>
        <v>5.6857535691025741E-4</v>
      </c>
      <c r="N14" s="5">
        <f>AVERAGEIFS('Final Dist Detail'!M:M,'Final Dist Detail'!$A:$A,'Final Summary '!$A14)</f>
        <v>1.2663723858455725E-3</v>
      </c>
      <c r="O14" s="5">
        <f>AVERAGEIFS('Final Dist Detail'!N:N,'Final Dist Detail'!$A:$A,'Final Summary '!$A14)</f>
        <v>5.7110810168194838E-2</v>
      </c>
      <c r="P14" s="5">
        <f>AVERAGEIFS('Final Dist Detail'!O:O,'Final Dist Detail'!$A:$A,'Final Summary '!$A14)</f>
        <v>2.7963569826222657E-2</v>
      </c>
      <c r="Q14" s="5">
        <f>AVERAGEIFS('Final Dist Detail'!P:P,'Final Dist Detail'!$A:$A,'Final Summary '!$A14)</f>
        <v>8.5524071413064701E-2</v>
      </c>
      <c r="R14" s="5">
        <f>AVERAGEIFS('Final Dist Detail'!Q:Q,'Final Dist Detail'!$A:$A,'Final Summary '!$A14)</f>
        <v>8.1456173177715849E-2</v>
      </c>
      <c r="S14" s="5">
        <f>AVERAGEIFS('Final Dist Detail'!R:R,'Final Dist Detail'!$A:$A,'Final Summary '!$A14)</f>
        <v>3.6125210631325309E-2</v>
      </c>
      <c r="T14" s="5">
        <f>AVERAGEIFS('Final Dist Detail'!S:S,'Final Dist Detail'!$A:$A,'Final Summary '!$A14)</f>
        <v>1.8401166096368331E-3</v>
      </c>
      <c r="U14" s="5">
        <f>AVERAGEIFS('Final Dist Detail'!T:T,'Final Dist Detail'!$A:$A,'Final Summary '!$A14)</f>
        <v>6.7753507076178679E-2</v>
      </c>
      <c r="V14" s="5">
        <f>AVERAGEIFS('Final Dist Detail'!U:U,'Final Dist Detail'!$A:$A,'Final Summary '!$A14)</f>
        <v>7.3030920161682042E-2</v>
      </c>
      <c r="W14" s="5">
        <f>AVERAGEIFS('Final Dist Detail'!V:V,'Final Dist Detail'!$A:$A,'Final Summary '!$A14)</f>
        <v>7.4271448213122676E-2</v>
      </c>
      <c r="X14" s="5">
        <f>AVERAGEIFS('Final Dist Detail'!W:W,'Final Dist Detail'!$A:$A,'Final Summary '!$A14)</f>
        <v>3.8027353643534226E-2</v>
      </c>
      <c r="Y14" s="5">
        <f>AVERAGEIFS('Final Dist Detail'!X:X,'Final Dist Detail'!$A:$A,'Final Summary '!$A14)</f>
        <v>1.0244694158146632E-2</v>
      </c>
      <c r="Z14" s="5">
        <f>AVERAGEIFS('Final Dist Detail'!Y:Y,'Final Dist Detail'!$A:$A,'Final Summary '!$A14)</f>
        <v>1.2095148501545458E-3</v>
      </c>
      <c r="AA14" s="5">
        <f>AVERAGEIFS('Final Dist Detail'!Z:Z,'Final Dist Detail'!$A:$A,'Final Summary '!$A14)</f>
        <v>2.6309532424301884E-3</v>
      </c>
      <c r="AB14" s="5">
        <f>AVERAGEIFS('Final Dist Detail'!AA:AA,'Final Dist Detail'!$A:$A,'Final Summary '!$A14)</f>
        <v>2.2365686994097054E-2</v>
      </c>
      <c r="AC14" s="5">
        <f>AVERAGEIFS('Final Dist Detail'!AB:AB,'Final Dist Detail'!$A:$A,'Final Summary '!$A14)</f>
        <v>4.1506001054448715E-3</v>
      </c>
    </row>
    <row r="15" spans="1:29" x14ac:dyDescent="0.25">
      <c r="A15" s="1">
        <v>15</v>
      </c>
      <c r="B15" s="11">
        <v>8677</v>
      </c>
      <c r="C15" s="10" t="s">
        <v>44</v>
      </c>
      <c r="D15" s="5">
        <f>AVERAGEIFS('Final Dist Detail'!C:C,'Final Dist Detail'!$A:$A,'Final Summary '!$A15)</f>
        <v>7.8583227690061735E-2</v>
      </c>
      <c r="E15" s="5">
        <f>AVERAGEIFS('Final Dist Detail'!D:D,'Final Dist Detail'!$A:$A,'Final Summary '!$A15)</f>
        <v>1.3353309515577536E-2</v>
      </c>
      <c r="F15" s="5">
        <f>AVERAGEIFS('Final Dist Detail'!E:E,'Final Dist Detail'!$A:$A,'Final Summary '!$A15)</f>
        <v>4.8818716146133416E-2</v>
      </c>
      <c r="G15" s="5">
        <f>AVERAGEIFS('Final Dist Detail'!F:F,'Final Dist Detail'!$A:$A,'Final Summary '!$A15)</f>
        <v>2.1021090238561673E-2</v>
      </c>
      <c r="H15" s="5">
        <f>AVERAGEIFS('Final Dist Detail'!G:G,'Final Dist Detail'!$A:$A,'Final Summary '!$A15)</f>
        <v>9.6531059121816087E-2</v>
      </c>
      <c r="I15" s="5">
        <f>AVERAGEIFS('Final Dist Detail'!H:H,'Final Dist Detail'!$A:$A,'Final Summary '!$A15)</f>
        <v>7.4757020475586487E-3</v>
      </c>
      <c r="J15" s="5">
        <f>AVERAGEIFS('Final Dist Detail'!I:I,'Final Dist Detail'!$A:$A,'Final Summary '!$A15)</f>
        <v>1.8047712342975638E-2</v>
      </c>
      <c r="K15" s="5">
        <f>AVERAGEIFS('Final Dist Detail'!J:J,'Final Dist Detail'!$A:$A,'Final Summary '!$A15)</f>
        <v>2.5630978448772577E-2</v>
      </c>
      <c r="L15" s="5">
        <f>AVERAGEIFS('Final Dist Detail'!K:K,'Final Dist Detail'!$A:$A,'Final Summary '!$A15)</f>
        <v>0.10074142368714209</v>
      </c>
      <c r="M15" s="5">
        <f>AVERAGEIFS('Final Dist Detail'!L:L,'Final Dist Detail'!$A:$A,'Final Summary '!$A15)</f>
        <v>5.3013714417425215E-4</v>
      </c>
      <c r="N15" s="5">
        <f>AVERAGEIFS('Final Dist Detail'!M:M,'Final Dist Detail'!$A:$A,'Final Summary '!$A15)</f>
        <v>1.2754024048250141E-3</v>
      </c>
      <c r="O15" s="5">
        <f>AVERAGEIFS('Final Dist Detail'!N:N,'Final Dist Detail'!$A:$A,'Final Summary '!$A15)</f>
        <v>5.7331643040989477E-2</v>
      </c>
      <c r="P15" s="5">
        <f>AVERAGEIFS('Final Dist Detail'!O:O,'Final Dist Detail'!$A:$A,'Final Summary '!$A15)</f>
        <v>2.838154508086508E-2</v>
      </c>
      <c r="Q15" s="5">
        <f>AVERAGEIFS('Final Dist Detail'!P:P,'Final Dist Detail'!$A:$A,'Final Summary '!$A15)</f>
        <v>8.7272866966309162E-2</v>
      </c>
      <c r="R15" s="5">
        <f>AVERAGEIFS('Final Dist Detail'!Q:Q,'Final Dist Detail'!$A:$A,'Final Summary '!$A15)</f>
        <v>8.3538857516038442E-2</v>
      </c>
      <c r="S15" s="5">
        <f>AVERAGEIFS('Final Dist Detail'!R:R,'Final Dist Detail'!$A:$A,'Final Summary '!$A15)</f>
        <v>3.6917521416772278E-2</v>
      </c>
      <c r="T15" s="5">
        <f>AVERAGEIFS('Final Dist Detail'!S:S,'Final Dist Detail'!$A:$A,'Final Summary '!$A15)</f>
        <v>1.4444316391994142E-3</v>
      </c>
      <c r="U15" s="5">
        <f>AVERAGEIFS('Final Dist Detail'!T:T,'Final Dist Detail'!$A:$A,'Final Summary '!$A15)</f>
        <v>6.6359340785985862E-2</v>
      </c>
      <c r="V15" s="5">
        <f>AVERAGEIFS('Final Dist Detail'!U:U,'Final Dist Detail'!$A:$A,'Final Summary '!$A15)</f>
        <v>7.4272982213514499E-2</v>
      </c>
      <c r="W15" s="5">
        <f>AVERAGEIFS('Final Dist Detail'!V:V,'Final Dist Detail'!$A:$A,'Final Summary '!$A15)</f>
        <v>7.444969459490601E-2</v>
      </c>
      <c r="X15" s="5">
        <f>AVERAGEIFS('Final Dist Detail'!W:W,'Final Dist Detail'!$A:$A,'Final Summary '!$A15)</f>
        <v>3.6717759594329775E-2</v>
      </c>
      <c r="Y15" s="5">
        <f>AVERAGEIFS('Final Dist Detail'!X:X,'Final Dist Detail'!$A:$A,'Final Summary '!$A15)</f>
        <v>1.0210902385617131E-2</v>
      </c>
      <c r="Z15" s="5">
        <f>AVERAGEIFS('Final Dist Detail'!Y:Y,'Final Dist Detail'!$A:$A,'Final Summary '!$A15)</f>
        <v>7.9904728976988863E-4</v>
      </c>
      <c r="AA15" s="5">
        <f>AVERAGEIFS('Final Dist Detail'!Z:Z,'Final Dist Detail'!$A:$A,'Final Summary '!$A15)</f>
        <v>2.29726095808843E-3</v>
      </c>
      <c r="AB15" s="5">
        <f>AVERAGEIFS('Final Dist Detail'!AA:AA,'Final Dist Detail'!$A:$A,'Final Summary '!$A15)</f>
        <v>2.3856171487841367E-2</v>
      </c>
      <c r="AC15" s="5">
        <f>AVERAGEIFS('Final Dist Detail'!AB:AB,'Final Dist Detail'!$A:$A,'Final Summary '!$A15)</f>
        <v>4.1412162421727901E-3</v>
      </c>
    </row>
    <row r="16" spans="1:29" x14ac:dyDescent="0.25">
      <c r="A16" s="1">
        <v>16</v>
      </c>
      <c r="B16" s="11">
        <v>5144</v>
      </c>
      <c r="C16" s="10" t="s">
        <v>45</v>
      </c>
      <c r="D16" s="5">
        <f>AVERAGEIFS('Final Dist Detail'!C:C,'Final Dist Detail'!$A:$A,'Final Summary '!$A16)</f>
        <v>7.7310944790046535E-2</v>
      </c>
      <c r="E16" s="5">
        <f>AVERAGEIFS('Final Dist Detail'!D:D,'Final Dist Detail'!$A:$A,'Final Summary '!$A16)</f>
        <v>1.3304335147744914E-2</v>
      </c>
      <c r="F16" s="5">
        <f>AVERAGEIFS('Final Dist Detail'!E:E,'Final Dist Detail'!$A:$A,'Final Summary '!$A16)</f>
        <v>4.9815318818040362E-2</v>
      </c>
      <c r="G16" s="5">
        <f>AVERAGEIFS('Final Dist Detail'!F:F,'Final Dist Detail'!$A:$A,'Final Summary '!$A16)</f>
        <v>1.9464424572317233E-2</v>
      </c>
      <c r="H16" s="5">
        <f>AVERAGEIFS('Final Dist Detail'!G:G,'Final Dist Detail'!$A:$A,'Final Summary '!$A16)</f>
        <v>9.7152021772939121E-2</v>
      </c>
      <c r="I16" s="5">
        <f>AVERAGEIFS('Final Dist Detail'!H:H,'Final Dist Detail'!$A:$A,'Final Summary '!$A16)</f>
        <v>6.5610419906687225E-3</v>
      </c>
      <c r="J16" s="5">
        <f>AVERAGEIFS('Final Dist Detail'!I:I,'Final Dist Detail'!$A:$A,'Final Summary '!$A16)</f>
        <v>1.7022258942457208E-2</v>
      </c>
      <c r="K16" s="5">
        <f>AVERAGEIFS('Final Dist Detail'!J:J,'Final Dist Detail'!$A:$A,'Final Summary '!$A16)</f>
        <v>2.6900272161741789E-2</v>
      </c>
      <c r="L16" s="5">
        <f>AVERAGEIFS('Final Dist Detail'!K:K,'Final Dist Detail'!$A:$A,'Final Summary '!$A16)</f>
        <v>9.8257678849144423E-2</v>
      </c>
      <c r="M16" s="5">
        <f>AVERAGEIFS('Final Dist Detail'!L:L,'Final Dist Detail'!$A:$A,'Final Summary '!$A16)</f>
        <v>3.7665241057542744E-4</v>
      </c>
      <c r="N16" s="5">
        <f>AVERAGEIFS('Final Dist Detail'!M:M,'Final Dist Detail'!$A:$A,'Final Summary '!$A16)</f>
        <v>7.7760497667184907E-4</v>
      </c>
      <c r="O16" s="5">
        <f>AVERAGEIFS('Final Dist Detail'!N:N,'Final Dist Detail'!$A:$A,'Final Summary '!$A16)</f>
        <v>5.8101671850699782E-2</v>
      </c>
      <c r="P16" s="5">
        <f>AVERAGEIFS('Final Dist Detail'!O:O,'Final Dist Detail'!$A:$A,'Final Summary '!$A16)</f>
        <v>2.7592826594090167E-2</v>
      </c>
      <c r="Q16" s="5">
        <f>AVERAGEIFS('Final Dist Detail'!P:P,'Final Dist Detail'!$A:$A,'Final Summary '!$A16)</f>
        <v>8.7419809486780603E-2</v>
      </c>
      <c r="R16" s="5">
        <f>AVERAGEIFS('Final Dist Detail'!Q:Q,'Final Dist Detail'!$A:$A,'Final Summary '!$A16)</f>
        <v>8.5536547433903348E-2</v>
      </c>
      <c r="S16" s="5">
        <f>AVERAGEIFS('Final Dist Detail'!R:R,'Final Dist Detail'!$A:$A,'Final Summary '!$A16)</f>
        <v>3.7993293157076127E-2</v>
      </c>
      <c r="T16" s="5">
        <f>AVERAGEIFS('Final Dist Detail'!S:S,'Final Dist Detail'!$A:$A,'Final Summary '!$A16)</f>
        <v>1.1907076205287697E-3</v>
      </c>
      <c r="U16" s="5">
        <f>AVERAGEIFS('Final Dist Detail'!T:T,'Final Dist Detail'!$A:$A,'Final Summary '!$A16)</f>
        <v>6.6618876360808557E-2</v>
      </c>
      <c r="V16" s="5">
        <f>AVERAGEIFS('Final Dist Detail'!U:U,'Final Dist Detail'!$A:$A,'Final Summary '!$A16)</f>
        <v>7.5913685847589299E-2</v>
      </c>
      <c r="W16" s="5">
        <f>AVERAGEIFS('Final Dist Detail'!V:V,'Final Dist Detail'!$A:$A,'Final Summary '!$A16)</f>
        <v>7.5719284603421311E-2</v>
      </c>
      <c r="X16" s="5">
        <f>AVERAGEIFS('Final Dist Detail'!W:W,'Final Dist Detail'!$A:$A,'Final Summary '!$A16)</f>
        <v>3.5368876360808668E-2</v>
      </c>
      <c r="Y16" s="5">
        <f>AVERAGEIFS('Final Dist Detail'!X:X,'Final Dist Detail'!$A:$A,'Final Summary '!$A16)</f>
        <v>9.7808125972005926E-3</v>
      </c>
      <c r="Z16" s="5">
        <f>AVERAGEIFS('Final Dist Detail'!Y:Y,'Final Dist Detail'!$A:$A,'Final Summary '!$A16)</f>
        <v>5.4675349922239332E-4</v>
      </c>
      <c r="AA16" s="5">
        <f>AVERAGEIFS('Final Dist Detail'!Z:Z,'Final Dist Detail'!$A:$A,'Final Summary '!$A16)</f>
        <v>2.3328149300155484E-3</v>
      </c>
      <c r="AB16" s="5">
        <f>AVERAGEIFS('Final Dist Detail'!AA:AA,'Final Dist Detail'!$A:$A,'Final Summary '!$A16)</f>
        <v>2.5187111197511585E-2</v>
      </c>
      <c r="AC16" s="5">
        <f>AVERAGEIFS('Final Dist Detail'!AB:AB,'Final Dist Detail'!$A:$A,'Final Summary '!$A16)</f>
        <v>3.7543740279937696E-3</v>
      </c>
    </row>
    <row r="17" spans="1:29" x14ac:dyDescent="0.25">
      <c r="A17" s="1">
        <v>17</v>
      </c>
      <c r="B17" s="11">
        <v>2959</v>
      </c>
      <c r="C17" s="10" t="s">
        <v>46</v>
      </c>
      <c r="D17" s="5">
        <f>AVERAGEIFS('Final Dist Detail'!C:C,'Final Dist Detail'!$A:$A,'Final Summary '!$A17)</f>
        <v>7.7251853766176826E-2</v>
      </c>
      <c r="E17" s="5">
        <f>AVERAGEIFS('Final Dist Detail'!D:D,'Final Dist Detail'!$A:$A,'Final Summary '!$A17)</f>
        <v>1.2086754269129049E-2</v>
      </c>
      <c r="F17" s="5">
        <f>AVERAGEIFS('Final Dist Detail'!E:E,'Final Dist Detail'!$A:$A,'Final Summary '!$A17)</f>
        <v>5.0096415720732285E-2</v>
      </c>
      <c r="G17" s="5">
        <f>AVERAGEIFS('Final Dist Detail'!F:F,'Final Dist Detail'!$A:$A,'Final Summary '!$A17)</f>
        <v>1.9183746496232799E-2</v>
      </c>
      <c r="H17" s="5">
        <f>AVERAGEIFS('Final Dist Detail'!G:G,'Final Dist Detail'!$A:$A,'Final Summary '!$A17)</f>
        <v>9.6614516032840714E-2</v>
      </c>
      <c r="I17" s="5">
        <f>AVERAGEIFS('Final Dist Detail'!H:H,'Final Dist Detail'!$A:$A,'Final Summary '!$A17)</f>
        <v>5.2481959326481364E-3</v>
      </c>
      <c r="J17" s="5">
        <f>AVERAGEIFS('Final Dist Detail'!I:I,'Final Dist Detail'!$A:$A,'Final Summary '!$A17)</f>
        <v>1.5923503568375613E-2</v>
      </c>
      <c r="K17" s="5">
        <f>AVERAGEIFS('Final Dist Detail'!J:J,'Final Dist Detail'!$A:$A,'Final Summary '!$A17)</f>
        <v>2.8626523268989873E-2</v>
      </c>
      <c r="L17" s="5">
        <f>AVERAGEIFS('Final Dist Detail'!K:K,'Final Dist Detail'!$A:$A,'Final Summary '!$A17)</f>
        <v>9.8105480786433996E-2</v>
      </c>
      <c r="M17" s="5">
        <f>AVERAGEIFS('Final Dist Detail'!L:L,'Final Dist Detail'!$A:$A,'Final Summary '!$A17)</f>
        <v>4.5722919110192099E-4</v>
      </c>
      <c r="N17" s="5">
        <f>AVERAGEIFS('Final Dist Detail'!M:M,'Final Dist Detail'!$A:$A,'Final Summary '!$A17)</f>
        <v>8.548197920601134E-4</v>
      </c>
      <c r="O17" s="5">
        <f>AVERAGEIFS('Final Dist Detail'!N:N,'Final Dist Detail'!$A:$A,'Final Summary '!$A17)</f>
        <v>5.703437170745275E-2</v>
      </c>
      <c r="P17" s="5">
        <f>AVERAGEIFS('Final Dist Detail'!O:O,'Final Dist Detail'!$A:$A,'Final Summary '!$A17)</f>
        <v>2.791086018726513E-2</v>
      </c>
      <c r="Q17" s="5">
        <f>AVERAGEIFS('Final Dist Detail'!P:P,'Final Dist Detail'!$A:$A,'Final Summary '!$A17)</f>
        <v>8.7469932210802293E-2</v>
      </c>
      <c r="R17" s="5">
        <f>AVERAGEIFS('Final Dist Detail'!Q:Q,'Final Dist Detail'!$A:$A,'Final Summary '!$A17)</f>
        <v>8.8722342603820725E-2</v>
      </c>
      <c r="S17" s="5">
        <f>AVERAGEIFS('Final Dist Detail'!R:R,'Final Dist Detail'!$A:$A,'Final Summary '!$A17)</f>
        <v>3.8924119833807017E-2</v>
      </c>
      <c r="T17" s="5">
        <f>AVERAGEIFS('Final Dist Detail'!S:S,'Final Dist Detail'!$A:$A,'Final Summary '!$A17)</f>
        <v>1.07349462258712E-3</v>
      </c>
      <c r="U17" s="5">
        <f>AVERAGEIFS('Final Dist Detail'!T:T,'Final Dist Detail'!$A:$A,'Final Summary '!$A17)</f>
        <v>6.516509949704781E-2</v>
      </c>
      <c r="V17" s="5">
        <f>AVERAGEIFS('Final Dist Detail'!U:U,'Final Dist Detail'!$A:$A,'Final Summary '!$A17)</f>
        <v>7.8206071208476502E-2</v>
      </c>
      <c r="W17" s="5">
        <f>AVERAGEIFS('Final Dist Detail'!V:V,'Final Dist Detail'!$A:$A,'Final Summary '!$A17)</f>
        <v>7.6655467864739507E-2</v>
      </c>
      <c r="X17" s="5">
        <f>AVERAGEIFS('Final Dist Detail'!W:W,'Final Dist Detail'!$A:$A,'Final Summary '!$A17)</f>
        <v>3.3874719201637982E-2</v>
      </c>
      <c r="Y17" s="5">
        <f>AVERAGEIFS('Final Dist Detail'!X:X,'Final Dist Detail'!$A:$A,'Final Summary '!$A17)</f>
        <v>9.760849253523626E-3</v>
      </c>
      <c r="Z17" s="5">
        <f>AVERAGEIFS('Final Dist Detail'!Y:Y,'Final Dist Detail'!$A:$A,'Final Summary '!$A17)</f>
        <v>4.5722919110192131E-4</v>
      </c>
      <c r="AA17" s="5">
        <f>AVERAGEIFS('Final Dist Detail'!Z:Z,'Final Dist Detail'!$A:$A,'Final Summary '!$A17)</f>
        <v>2.0277120648867831E-3</v>
      </c>
      <c r="AB17" s="5">
        <f>AVERAGEIFS('Final Dist Detail'!AA:AA,'Final Dist Detail'!$A:$A,'Final Summary '!$A17)</f>
        <v>2.4352424308689277E-2</v>
      </c>
      <c r="AC17" s="5">
        <f>AVERAGEIFS('Final Dist Detail'!AB:AB,'Final Dist Detail'!$A:$A,'Final Summary '!$A17)</f>
        <v>3.9162674194382014E-3</v>
      </c>
    </row>
    <row r="18" spans="1:29" x14ac:dyDescent="0.25">
      <c r="A18" s="1">
        <v>18</v>
      </c>
      <c r="B18" s="11">
        <v>1474</v>
      </c>
      <c r="C18" s="10" t="s">
        <v>47</v>
      </c>
      <c r="D18" s="5">
        <f>AVERAGEIFS('Final Dist Detail'!C:C,'Final Dist Detail'!$A:$A,'Final Summary '!$A18)</f>
        <v>7.4928388361224132E-2</v>
      </c>
      <c r="E18" s="5">
        <f>AVERAGEIFS('Final Dist Detail'!D:D,'Final Dist Detail'!$A:$A,'Final Summary '!$A18)</f>
        <v>1.1570933212724227E-2</v>
      </c>
      <c r="F18" s="5">
        <f>AVERAGEIFS('Final Dist Detail'!E:E,'Final Dist Detail'!$A:$A,'Final Summary '!$A18)</f>
        <v>5.2314186642544759E-2</v>
      </c>
      <c r="G18" s="5">
        <f>AVERAGEIFS('Final Dist Detail'!F:F,'Final Dist Detail'!$A:$A,'Final Summary '!$A18)</f>
        <v>1.9297452133272976E-2</v>
      </c>
      <c r="H18" s="5">
        <f>AVERAGEIFS('Final Dist Detail'!G:G,'Final Dist Detail'!$A:$A,'Final Summary '!$A18)</f>
        <v>9.7203377054123158E-2</v>
      </c>
      <c r="I18" s="5">
        <f>AVERAGEIFS('Final Dist Detail'!H:H,'Final Dist Detail'!$A:$A,'Final Summary '!$A18)</f>
        <v>4.9751243781094405E-3</v>
      </c>
      <c r="J18" s="5">
        <f>AVERAGEIFS('Final Dist Detail'!I:I,'Final Dist Detail'!$A:$A,'Final Summary '!$A18)</f>
        <v>1.5905321875471098E-2</v>
      </c>
      <c r="K18" s="5">
        <f>AVERAGEIFS('Final Dist Detail'!J:J,'Final Dist Detail'!$A:$A,'Final Summary '!$A18)</f>
        <v>3.052917232021703E-2</v>
      </c>
      <c r="L18" s="5">
        <f>AVERAGEIFS('Final Dist Detail'!K:K,'Final Dist Detail'!$A:$A,'Final Summary '!$A18)</f>
        <v>9.5356550580430993E-2</v>
      </c>
      <c r="M18" s="5">
        <f>AVERAGEIFS('Final Dist Detail'!L:L,'Final Dist Detail'!$A:$A,'Final Summary '!$A18)</f>
        <v>4.5228403437358482E-4</v>
      </c>
      <c r="N18" s="5">
        <f>AVERAGEIFS('Final Dist Detail'!M:M,'Final Dist Detail'!$A:$A,'Final Summary '!$A18)</f>
        <v>7.5380672395597577E-4</v>
      </c>
      <c r="O18" s="5">
        <f>AVERAGEIFS('Final Dist Detail'!N:N,'Final Dist Detail'!$A:$A,'Final Summary '!$A18)</f>
        <v>5.6497813960500437E-2</v>
      </c>
      <c r="P18" s="5">
        <f>AVERAGEIFS('Final Dist Detail'!O:O,'Final Dist Detail'!$A:$A,'Final Summary '!$A18)</f>
        <v>2.8456203829338111E-2</v>
      </c>
      <c r="Q18" s="5">
        <f>AVERAGEIFS('Final Dist Detail'!P:P,'Final Dist Detail'!$A:$A,'Final Summary '!$A18)</f>
        <v>8.269259761797057E-2</v>
      </c>
      <c r="R18" s="5">
        <f>AVERAGEIFS('Final Dist Detail'!Q:Q,'Final Dist Detail'!$A:$A,'Final Summary '!$A18)</f>
        <v>9.3396653098145377E-2</v>
      </c>
      <c r="S18" s="5">
        <f>AVERAGEIFS('Final Dist Detail'!R:R,'Final Dist Detail'!$A:$A,'Final Summary '!$A18)</f>
        <v>4.1572440826172112E-2</v>
      </c>
      <c r="T18" s="5">
        <f>AVERAGEIFS('Final Dist Detail'!S:S,'Final Dist Detail'!$A:$A,'Final Summary '!$A18)</f>
        <v>1.0553294135383648E-3</v>
      </c>
      <c r="U18" s="5">
        <f>AVERAGEIFS('Final Dist Detail'!T:T,'Final Dist Detail'!$A:$A,'Final Summary '!$A18)</f>
        <v>6.7013417759686333E-2</v>
      </c>
      <c r="V18" s="5">
        <f>AVERAGEIFS('Final Dist Detail'!U:U,'Final Dist Detail'!$A:$A,'Final Summary '!$A18)</f>
        <v>7.8056686265641315E-2</v>
      </c>
      <c r="W18" s="5">
        <f>AVERAGEIFS('Final Dist Detail'!V:V,'Final Dist Detail'!$A:$A,'Final Summary '!$A18)</f>
        <v>7.5832956429971204E-2</v>
      </c>
      <c r="X18" s="5">
        <f>AVERAGEIFS('Final Dist Detail'!W:W,'Final Dist Detail'!$A:$A,'Final Summary '!$A18)</f>
        <v>3.1886024423337801E-2</v>
      </c>
      <c r="Y18" s="5">
        <f>AVERAGEIFS('Final Dist Detail'!X:X,'Final Dist Detail'!$A:$A,'Final Summary '!$A18)</f>
        <v>1.0327152118196884E-2</v>
      </c>
      <c r="Z18" s="5">
        <f>AVERAGEIFS('Final Dist Detail'!Y:Y,'Final Dist Detail'!$A:$A,'Final Summary '!$A18)</f>
        <v>1.884516809889937E-4</v>
      </c>
      <c r="AA18" s="5">
        <f>AVERAGEIFS('Final Dist Detail'!Z:Z,'Final Dist Detail'!$A:$A,'Final Summary '!$A18)</f>
        <v>1.7714458012965419E-3</v>
      </c>
      <c r="AB18" s="5">
        <f>AVERAGEIFS('Final Dist Detail'!AA:AA,'Final Dist Detail'!$A:$A,'Final Summary '!$A18)</f>
        <v>2.4649479873360414E-2</v>
      </c>
      <c r="AC18" s="5">
        <f>AVERAGEIFS('Final Dist Detail'!AB:AB,'Final Dist Detail'!$A:$A,'Final Summary '!$A18)</f>
        <v>3.3167495854062954E-3</v>
      </c>
    </row>
    <row r="19" spans="1:29" x14ac:dyDescent="0.25">
      <c r="A19" s="1">
        <v>19</v>
      </c>
      <c r="B19" s="11">
        <v>758</v>
      </c>
      <c r="C19" s="10" t="s">
        <v>48</v>
      </c>
      <c r="D19" s="5">
        <f>AVERAGEIFS('Final Dist Detail'!C:C,'Final Dist Detail'!$A:$A,'Final Summary '!$A19)</f>
        <v>8.3668934870156822E-2</v>
      </c>
      <c r="E19" s="5">
        <f>AVERAGEIFS('Final Dist Detail'!D:D,'Final Dist Detail'!$A:$A,'Final Summary '!$A19)</f>
        <v>9.0959588945979612E-3</v>
      </c>
      <c r="F19" s="5">
        <f>AVERAGEIFS('Final Dist Detail'!E:E,'Final Dist Detail'!$A:$A,'Final Summary '!$A19)</f>
        <v>5.6103318983474433E-2</v>
      </c>
      <c r="G19" s="5">
        <f>AVERAGEIFS('Final Dist Detail'!F:F,'Final Dist Detail'!$A:$A,'Final Summary '!$A19)</f>
        <v>1.860852659352864E-2</v>
      </c>
      <c r="H19" s="5">
        <f>AVERAGEIFS('Final Dist Detail'!G:G,'Final Dist Detail'!$A:$A,'Final Summary '!$A19)</f>
        <v>9.2834328565476756E-2</v>
      </c>
      <c r="I19" s="5">
        <f>AVERAGEIFS('Final Dist Detail'!H:H,'Final Dist Detail'!$A:$A,'Final Summary '!$A19)</f>
        <v>4.0966532426051812E-3</v>
      </c>
      <c r="J19" s="5">
        <f>AVERAGEIFS('Final Dist Detail'!I:I,'Final Dist Detail'!$A:$A,'Final Summary '!$A19)</f>
        <v>1.652548257186499E-2</v>
      </c>
      <c r="K19" s="5">
        <f>AVERAGEIFS('Final Dist Detail'!J:J,'Final Dist Detail'!$A:$A,'Final Summary '!$A19)</f>
        <v>3.6106096375503355E-2</v>
      </c>
      <c r="L19" s="5">
        <f>AVERAGEIFS('Final Dist Detail'!K:K,'Final Dist Detail'!$A:$A,'Final Summary '!$A19)</f>
        <v>9.5542285793639506E-2</v>
      </c>
      <c r="M19" s="5">
        <f>AVERAGEIFS('Final Dist Detail'!L:L,'Final Dist Detail'!$A:$A,'Final Summary '!$A19)</f>
        <v>5.5547840577697429E-4</v>
      </c>
      <c r="N19" s="5">
        <f>AVERAGEIFS('Final Dist Detail'!M:M,'Final Dist Detail'!$A:$A,'Final Summary '!$A19)</f>
        <v>4.1660880433273053E-4</v>
      </c>
      <c r="O19" s="5">
        <f>AVERAGEIFS('Final Dist Detail'!N:N,'Final Dist Detail'!$A:$A,'Final Summary '!$A19)</f>
        <v>6.2491320649909643E-2</v>
      </c>
      <c r="P19" s="5">
        <f>AVERAGEIFS('Final Dist Detail'!O:O,'Final Dist Detail'!$A:$A,'Final Summary '!$A19)</f>
        <v>2.8398833495347834E-2</v>
      </c>
      <c r="Q19" s="5">
        <f>AVERAGEIFS('Final Dist Detail'!P:P,'Final Dist Detail'!$A:$A,'Final Summary '!$A19)</f>
        <v>8.1099847243438286E-2</v>
      </c>
      <c r="R19" s="5">
        <f>AVERAGEIFS('Final Dist Detail'!Q:Q,'Final Dist Detail'!$A:$A,'Final Summary '!$A19)</f>
        <v>9.4917372587140419E-2</v>
      </c>
      <c r="S19" s="5">
        <f>AVERAGEIFS('Final Dist Detail'!R:R,'Final Dist Detail'!$A:$A,'Final Summary '!$A19)</f>
        <v>4.0063880016664319E-2</v>
      </c>
      <c r="T19" s="5">
        <f>AVERAGEIFS('Final Dist Detail'!S:S,'Final Dist Detail'!$A:$A,'Final Summary '!$A19)</f>
        <v>5.554784057769732E-4</v>
      </c>
      <c r="U19" s="5">
        <f>AVERAGEIFS('Final Dist Detail'!T:T,'Final Dist Detail'!$A:$A,'Final Summary '!$A19)</f>
        <v>6.2074711845576877E-2</v>
      </c>
      <c r="V19" s="5">
        <f>AVERAGEIFS('Final Dist Detail'!U:U,'Final Dist Detail'!$A:$A,'Final Summary '!$A19)</f>
        <v>6.8948757117066981E-2</v>
      </c>
      <c r="W19" s="5">
        <f>AVERAGEIFS('Final Dist Detail'!V:V,'Final Dist Detail'!$A:$A,'Final Summary '!$A19)</f>
        <v>7.9433412026107347E-2</v>
      </c>
      <c r="X19" s="5">
        <f>AVERAGEIFS('Final Dist Detail'!W:W,'Final Dist Detail'!$A:$A,'Final Summary '!$A19)</f>
        <v>2.8121094292459348E-2</v>
      </c>
      <c r="Y19" s="5">
        <f>AVERAGEIFS('Final Dist Detail'!X:X,'Final Dist Detail'!$A:$A,'Final Summary '!$A19)</f>
        <v>8.9570892931537163E-3</v>
      </c>
      <c r="Z19" s="5">
        <f>AVERAGEIFS('Final Dist Detail'!Y:Y,'Final Dist Detail'!$A:$A,'Final Summary '!$A19)</f>
        <v>4.166088043327295E-4</v>
      </c>
      <c r="AA19" s="5">
        <f>AVERAGEIFS('Final Dist Detail'!Z:Z,'Final Dist Detail'!$A:$A,'Final Summary '!$A19)</f>
        <v>1.3886960144424356E-3</v>
      </c>
      <c r="AB19" s="5">
        <f>AVERAGEIFS('Final Dist Detail'!AA:AA,'Final Dist Detail'!$A:$A,'Final Summary '!$A19)</f>
        <v>2.589918066935146E-2</v>
      </c>
      <c r="AC19" s="5">
        <f>AVERAGEIFS('Final Dist Detail'!AB:AB,'Final Dist Detail'!$A:$A,'Final Summary '!$A19)</f>
        <v>3.6800444382724547E-3</v>
      </c>
    </row>
    <row r="20" spans="1:29" x14ac:dyDescent="0.25">
      <c r="A20" s="1">
        <v>20</v>
      </c>
      <c r="B20" s="11">
        <v>358</v>
      </c>
      <c r="C20" s="10" t="s">
        <v>49</v>
      </c>
      <c r="D20" s="5">
        <f>AVERAGEIFS('Final Dist Detail'!C:C,'Final Dist Detail'!$A:$A,'Final Summary '!$A20)</f>
        <v>8.1703910614524991E-2</v>
      </c>
      <c r="E20" s="5">
        <f>AVERAGEIFS('Final Dist Detail'!D:D,'Final Dist Detail'!$A:$A,'Final Summary '!$A20)</f>
        <v>8.659217877094956E-3</v>
      </c>
      <c r="F20" s="5">
        <f>AVERAGEIFS('Final Dist Detail'!E:E,'Final Dist Detail'!$A:$A,'Final Summary '!$A20)</f>
        <v>5.5586592178770877E-2</v>
      </c>
      <c r="G20" s="5">
        <f>AVERAGEIFS('Final Dist Detail'!F:F,'Final Dist Detail'!$A:$A,'Final Summary '!$A20)</f>
        <v>1.9832402234636823E-2</v>
      </c>
      <c r="H20" s="5">
        <f>AVERAGEIFS('Final Dist Detail'!G:G,'Final Dist Detail'!$A:$A,'Final Summary '!$A20)</f>
        <v>9.3854748603351731E-2</v>
      </c>
      <c r="I20" s="5">
        <f>AVERAGEIFS('Final Dist Detail'!H:H,'Final Dist Detail'!$A:$A,'Final Summary '!$A20)</f>
        <v>2.653631284916197E-3</v>
      </c>
      <c r="J20" s="5">
        <f>AVERAGEIFS('Final Dist Detail'!I:I,'Final Dist Detail'!$A:$A,'Final Summary '!$A20)</f>
        <v>1.6620111731843544E-2</v>
      </c>
      <c r="K20" s="5">
        <f>AVERAGEIFS('Final Dist Detail'!J:J,'Final Dist Detail'!$A:$A,'Final Summary '!$A20)</f>
        <v>3.8966480446927326E-2</v>
      </c>
      <c r="L20" s="5">
        <f>AVERAGEIFS('Final Dist Detail'!K:K,'Final Dist Detail'!$A:$A,'Final Summary '!$A20)</f>
        <v>9.259776536312822E-2</v>
      </c>
      <c r="M20" s="5">
        <f>AVERAGEIFS('Final Dist Detail'!L:L,'Final Dist Detail'!$A:$A,'Final Summary '!$A20)</f>
        <v>8.3798882681564157E-4</v>
      </c>
      <c r="N20" s="5">
        <f>AVERAGEIFS('Final Dist Detail'!M:M,'Final Dist Detail'!$A:$A,'Final Summary '!$A20)</f>
        <v>1.3966480446927351E-4</v>
      </c>
      <c r="O20" s="5">
        <f>AVERAGEIFS('Final Dist Detail'!N:N,'Final Dist Detail'!$A:$A,'Final Summary '!$A20)</f>
        <v>6.5083798882681496E-2</v>
      </c>
      <c r="P20" s="5">
        <f>AVERAGEIFS('Final Dist Detail'!O:O,'Final Dist Detail'!$A:$A,'Final Summary '!$A20)</f>
        <v>2.8212290502793252E-2</v>
      </c>
      <c r="Q20" s="5">
        <f>AVERAGEIFS('Final Dist Detail'!P:P,'Final Dist Detail'!$A:$A,'Final Summary '!$A20)</f>
        <v>7.6536312849161875E-2</v>
      </c>
      <c r="R20" s="5">
        <f>AVERAGEIFS('Final Dist Detail'!Q:Q,'Final Dist Detail'!$A:$A,'Final Summary '!$A20)</f>
        <v>9.8044692737429842E-2</v>
      </c>
      <c r="S20" s="5">
        <f>AVERAGEIFS('Final Dist Detail'!R:R,'Final Dist Detail'!$A:$A,'Final Summary '!$A20)</f>
        <v>4.259776536312844E-2</v>
      </c>
      <c r="T20" s="5">
        <f>AVERAGEIFS('Final Dist Detail'!S:S,'Final Dist Detail'!$A:$A,'Final Summary '!$A20)</f>
        <v>6.9832402234636798E-4</v>
      </c>
      <c r="U20" s="5">
        <f>AVERAGEIFS('Final Dist Detail'!T:T,'Final Dist Detail'!$A:$A,'Final Summary '!$A20)</f>
        <v>6.5642458100558507E-2</v>
      </c>
      <c r="V20" s="5">
        <f>AVERAGEIFS('Final Dist Detail'!U:U,'Final Dist Detail'!$A:$A,'Final Summary '!$A20)</f>
        <v>6.3966480446927265E-2</v>
      </c>
      <c r="W20" s="5">
        <f>AVERAGEIFS('Final Dist Detail'!V:V,'Final Dist Detail'!$A:$A,'Final Summary '!$A20)</f>
        <v>7.9469273743016614E-2</v>
      </c>
      <c r="X20" s="5">
        <f>AVERAGEIFS('Final Dist Detail'!W:W,'Final Dist Detail'!$A:$A,'Final Summary '!$A20)</f>
        <v>2.5837988826815615E-2</v>
      </c>
      <c r="Y20" s="5">
        <f>AVERAGEIFS('Final Dist Detail'!X:X,'Final Dist Detail'!$A:$A,'Final Summary '!$A20)</f>
        <v>8.6592178770949647E-3</v>
      </c>
      <c r="Z20" s="5">
        <f>AVERAGEIFS('Final Dist Detail'!Y:Y,'Final Dist Detail'!$A:$A,'Final Summary '!$A20)</f>
        <v>0</v>
      </c>
      <c r="AA20" s="5">
        <f>AVERAGEIFS('Final Dist Detail'!Z:Z,'Final Dist Detail'!$A:$A,'Final Summary '!$A20)</f>
        <v>1.2569832402234617E-3</v>
      </c>
      <c r="AB20" s="5">
        <f>AVERAGEIFS('Final Dist Detail'!AA:AA,'Final Dist Detail'!$A:$A,'Final Summary '!$A20)</f>
        <v>2.8770949720670347E-2</v>
      </c>
      <c r="AC20" s="5">
        <f>AVERAGEIFS('Final Dist Detail'!AB:AB,'Final Dist Detail'!$A:$A,'Final Summary '!$A20)</f>
        <v>3.770949720670388E-3</v>
      </c>
    </row>
    <row r="21" spans="1:29" x14ac:dyDescent="0.25">
      <c r="B21" s="12"/>
    </row>
    <row r="22" spans="1:29" x14ac:dyDescent="0.25">
      <c r="B22" s="12">
        <f>SUM(B2:B20)</f>
        <v>340821</v>
      </c>
      <c r="C22" s="8" t="s">
        <v>50</v>
      </c>
      <c r="D22" s="5">
        <f>SUMPRODUCT($B$2:$B$20,D2:D20)/SUM($B$2:$B$20)</f>
        <v>8.1427634588175979E-2</v>
      </c>
      <c r="E22" s="5">
        <f t="shared" ref="E22:AC22" si="0">SUMPRODUCT($B$2:$B$20,E2:E20)/SUM($B$2:$B$20)</f>
        <v>1.9368864648285539E-2</v>
      </c>
      <c r="F22" s="5">
        <f t="shared" si="0"/>
        <v>4.2003608398638329E-2</v>
      </c>
      <c r="G22" s="5">
        <f t="shared" si="0"/>
        <v>3.4024590131080799E-2</v>
      </c>
      <c r="H22" s="5">
        <f t="shared" si="0"/>
        <v>0.11047140396232127</v>
      </c>
      <c r="I22" s="5">
        <f t="shared" si="0"/>
        <v>1.2536540088724128E-2</v>
      </c>
      <c r="J22" s="5">
        <f t="shared" si="0"/>
        <v>2.4921213796728566E-2</v>
      </c>
      <c r="K22" s="5">
        <f t="shared" si="0"/>
        <v>2.5571505405732917E-2</v>
      </c>
      <c r="L22" s="5">
        <f t="shared" si="0"/>
        <v>8.6078014974711209E-2</v>
      </c>
      <c r="M22" s="5">
        <f t="shared" si="0"/>
        <v>1.78145645296013E-3</v>
      </c>
      <c r="N22" s="5">
        <f t="shared" si="0"/>
        <v>9.2556718016803593E-3</v>
      </c>
      <c r="O22" s="5">
        <f t="shared" si="0"/>
        <v>5.5702382063879258E-2</v>
      </c>
      <c r="P22" s="5">
        <f t="shared" si="0"/>
        <v>2.9762852537363282E-2</v>
      </c>
      <c r="Q22" s="5">
        <f t="shared" si="0"/>
        <v>6.9245691404940787E-2</v>
      </c>
      <c r="R22" s="5">
        <f t="shared" si="0"/>
        <v>7.0335841045125178E-2</v>
      </c>
      <c r="S22" s="5">
        <f t="shared" si="0"/>
        <v>3.196810486152532E-2</v>
      </c>
      <c r="T22" s="5">
        <f t="shared" si="0"/>
        <v>1.7438358857235334E-3</v>
      </c>
      <c r="U22" s="5">
        <f t="shared" si="0"/>
        <v>7.0680300288370315E-2</v>
      </c>
      <c r="V22" s="5">
        <f t="shared" si="0"/>
        <v>7.4148147460533276E-2</v>
      </c>
      <c r="W22" s="5">
        <f t="shared" si="0"/>
        <v>6.5102221228145046E-2</v>
      </c>
      <c r="X22" s="5">
        <f t="shared" si="0"/>
        <v>3.8515397327655763E-2</v>
      </c>
      <c r="Y22" s="5">
        <f t="shared" si="0"/>
        <v>9.7347133900516809E-3</v>
      </c>
      <c r="Z22" s="5">
        <f t="shared" si="0"/>
        <v>7.8694993498333657E-3</v>
      </c>
      <c r="AA22" s="5">
        <f t="shared" si="0"/>
        <v>3.1813125543450668E-3</v>
      </c>
      <c r="AB22" s="5">
        <f t="shared" si="0"/>
        <v>2.0281318567659089E-2</v>
      </c>
      <c r="AC22" s="5">
        <f t="shared" si="0"/>
        <v>4.2878777858081267E-3</v>
      </c>
    </row>
    <row r="23" spans="1:29" x14ac:dyDescent="0.25">
      <c r="C23"/>
    </row>
    <row r="24" spans="1:29" x14ac:dyDescent="0.25">
      <c r="C24"/>
    </row>
    <row r="25" spans="1:29" x14ac:dyDescent="0.25">
      <c r="C25"/>
    </row>
    <row r="26" spans="1:29" x14ac:dyDescent="0.25">
      <c r="C26"/>
    </row>
    <row r="27" spans="1:29" x14ac:dyDescent="0.25">
      <c r="C27"/>
    </row>
    <row r="28" spans="1:29" x14ac:dyDescent="0.25">
      <c r="C28"/>
    </row>
    <row r="29" spans="1:29" x14ac:dyDescent="0.25">
      <c r="C29"/>
    </row>
    <row r="30" spans="1:29" x14ac:dyDescent="0.25">
      <c r="C30"/>
    </row>
    <row r="31" spans="1:29" x14ac:dyDescent="0.25">
      <c r="C31"/>
    </row>
    <row r="32" spans="1:29" x14ac:dyDescent="0.25">
      <c r="C32"/>
    </row>
    <row r="33" spans="3:3" x14ac:dyDescent="0.25">
      <c r="C33"/>
    </row>
    <row r="34" spans="3:3" x14ac:dyDescent="0.25">
      <c r="C34"/>
    </row>
    <row r="35" spans="3:3" x14ac:dyDescent="0.25">
      <c r="C35"/>
    </row>
    <row r="36" spans="3:3" x14ac:dyDescent="0.25">
      <c r="C36"/>
    </row>
    <row r="37" spans="3:3" x14ac:dyDescent="0.25">
      <c r="C37"/>
    </row>
    <row r="38" spans="3:3" x14ac:dyDescent="0.25">
      <c r="C38"/>
    </row>
    <row r="39" spans="3:3" x14ac:dyDescent="0.25">
      <c r="C39"/>
    </row>
    <row r="40" spans="3:3" x14ac:dyDescent="0.25">
      <c r="C40"/>
    </row>
    <row r="41" spans="3:3" x14ac:dyDescent="0.25">
      <c r="C41"/>
    </row>
    <row r="42" spans="3:3" x14ac:dyDescent="0.25">
      <c r="C42"/>
    </row>
    <row r="43" spans="3:3" x14ac:dyDescent="0.25">
      <c r="C43"/>
    </row>
    <row r="44" spans="3:3" x14ac:dyDescent="0.25">
      <c r="C44"/>
    </row>
    <row r="45" spans="3:3" x14ac:dyDescent="0.25">
      <c r="C45"/>
    </row>
    <row r="46" spans="3:3" x14ac:dyDescent="0.25">
      <c r="C46"/>
    </row>
    <row r="47" spans="3:3" x14ac:dyDescent="0.25">
      <c r="C47"/>
    </row>
    <row r="48" spans="3:3" x14ac:dyDescent="0.25">
      <c r="C48"/>
    </row>
    <row r="49" spans="3:3" x14ac:dyDescent="0.25">
      <c r="C49"/>
    </row>
    <row r="50" spans="3:3" x14ac:dyDescent="0.25">
      <c r="C50"/>
    </row>
    <row r="51" spans="3:3" x14ac:dyDescent="0.25">
      <c r="C51"/>
    </row>
    <row r="52" spans="3:3" x14ac:dyDescent="0.25">
      <c r="C52"/>
    </row>
    <row r="53" spans="3:3" x14ac:dyDescent="0.25">
      <c r="C53"/>
    </row>
    <row r="54" spans="3:3" x14ac:dyDescent="0.25">
      <c r="C54"/>
    </row>
    <row r="55" spans="3:3" x14ac:dyDescent="0.25">
      <c r="C55"/>
    </row>
    <row r="56" spans="3:3" x14ac:dyDescent="0.25">
      <c r="C56"/>
    </row>
    <row r="57" spans="3:3" x14ac:dyDescent="0.25">
      <c r="C57"/>
    </row>
    <row r="58" spans="3:3" x14ac:dyDescent="0.25">
      <c r="C58"/>
    </row>
    <row r="59" spans="3:3" x14ac:dyDescent="0.25">
      <c r="C59"/>
    </row>
    <row r="60" spans="3:3" x14ac:dyDescent="0.25">
      <c r="C60"/>
    </row>
    <row r="61" spans="3:3" x14ac:dyDescent="0.25">
      <c r="C61"/>
    </row>
    <row r="62" spans="3:3" x14ac:dyDescent="0.25">
      <c r="C62"/>
    </row>
    <row r="63" spans="3:3" x14ac:dyDescent="0.25">
      <c r="C63"/>
    </row>
    <row r="64" spans="3:3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  <row r="81" spans="3:3" x14ac:dyDescent="0.25">
      <c r="C81"/>
    </row>
    <row r="82" spans="3:3" x14ac:dyDescent="0.25">
      <c r="C82"/>
    </row>
    <row r="83" spans="3:3" x14ac:dyDescent="0.25">
      <c r="C83"/>
    </row>
    <row r="84" spans="3:3" x14ac:dyDescent="0.25">
      <c r="C84"/>
    </row>
    <row r="85" spans="3:3" x14ac:dyDescent="0.25">
      <c r="C85"/>
    </row>
    <row r="86" spans="3:3" x14ac:dyDescent="0.25">
      <c r="C86"/>
    </row>
    <row r="87" spans="3:3" x14ac:dyDescent="0.25">
      <c r="C87"/>
    </row>
    <row r="88" spans="3:3" x14ac:dyDescent="0.25">
      <c r="C88"/>
    </row>
    <row r="89" spans="3:3" x14ac:dyDescent="0.25">
      <c r="C89"/>
    </row>
    <row r="90" spans="3:3" x14ac:dyDescent="0.25">
      <c r="C90"/>
    </row>
    <row r="91" spans="3:3" x14ac:dyDescent="0.25">
      <c r="C91"/>
    </row>
    <row r="92" spans="3:3" x14ac:dyDescent="0.25">
      <c r="C92"/>
    </row>
    <row r="93" spans="3:3" x14ac:dyDescent="0.25">
      <c r="C93"/>
    </row>
    <row r="94" spans="3:3" x14ac:dyDescent="0.25">
      <c r="C94"/>
    </row>
    <row r="95" spans="3:3" x14ac:dyDescent="0.25">
      <c r="C95"/>
    </row>
    <row r="96" spans="3:3" x14ac:dyDescent="0.25">
      <c r="C96"/>
    </row>
    <row r="97" spans="3:3" x14ac:dyDescent="0.25">
      <c r="C97"/>
    </row>
    <row r="98" spans="3:3" x14ac:dyDescent="0.25">
      <c r="C98"/>
    </row>
    <row r="99" spans="3:3" x14ac:dyDescent="0.25">
      <c r="C99"/>
    </row>
    <row r="100" spans="3:3" x14ac:dyDescent="0.25">
      <c r="C100"/>
    </row>
    <row r="101" spans="3:3" x14ac:dyDescent="0.25">
      <c r="C101"/>
    </row>
    <row r="102" spans="3:3" x14ac:dyDescent="0.25">
      <c r="C102"/>
    </row>
    <row r="103" spans="3:3" x14ac:dyDescent="0.25">
      <c r="C103"/>
    </row>
    <row r="104" spans="3:3" x14ac:dyDescent="0.25">
      <c r="C104"/>
    </row>
    <row r="105" spans="3:3" x14ac:dyDescent="0.25">
      <c r="C105"/>
    </row>
    <row r="106" spans="3:3" x14ac:dyDescent="0.25">
      <c r="C106"/>
    </row>
    <row r="107" spans="3:3" x14ac:dyDescent="0.25">
      <c r="C107"/>
    </row>
    <row r="108" spans="3:3" x14ac:dyDescent="0.25">
      <c r="C108"/>
    </row>
    <row r="109" spans="3:3" x14ac:dyDescent="0.25">
      <c r="C109"/>
    </row>
    <row r="110" spans="3:3" x14ac:dyDescent="0.25">
      <c r="C110"/>
    </row>
    <row r="111" spans="3:3" x14ac:dyDescent="0.25">
      <c r="C111"/>
    </row>
    <row r="112" spans="3:3" x14ac:dyDescent="0.25">
      <c r="C112"/>
    </row>
    <row r="113" spans="3:3" x14ac:dyDescent="0.25">
      <c r="C113"/>
    </row>
    <row r="114" spans="3:3" x14ac:dyDescent="0.25">
      <c r="C114"/>
    </row>
    <row r="115" spans="3:3" x14ac:dyDescent="0.25">
      <c r="C115"/>
    </row>
    <row r="116" spans="3:3" x14ac:dyDescent="0.25">
      <c r="C116"/>
    </row>
    <row r="117" spans="3:3" x14ac:dyDescent="0.25">
      <c r="C117"/>
    </row>
    <row r="118" spans="3:3" x14ac:dyDescent="0.25">
      <c r="C118"/>
    </row>
    <row r="119" spans="3:3" x14ac:dyDescent="0.25">
      <c r="C119"/>
    </row>
    <row r="120" spans="3:3" x14ac:dyDescent="0.25">
      <c r="C120"/>
    </row>
    <row r="121" spans="3:3" x14ac:dyDescent="0.25">
      <c r="C121"/>
    </row>
    <row r="122" spans="3:3" x14ac:dyDescent="0.25">
      <c r="C122"/>
    </row>
    <row r="123" spans="3:3" x14ac:dyDescent="0.25">
      <c r="C123"/>
    </row>
    <row r="124" spans="3:3" x14ac:dyDescent="0.25">
      <c r="C124"/>
    </row>
    <row r="125" spans="3:3" x14ac:dyDescent="0.25">
      <c r="C125"/>
    </row>
    <row r="126" spans="3:3" x14ac:dyDescent="0.25">
      <c r="C126"/>
    </row>
    <row r="127" spans="3:3" x14ac:dyDescent="0.25">
      <c r="C127"/>
    </row>
    <row r="128" spans="3:3" x14ac:dyDescent="0.25">
      <c r="C128"/>
    </row>
    <row r="129" spans="3:3" x14ac:dyDescent="0.25">
      <c r="C129"/>
    </row>
    <row r="130" spans="3:3" x14ac:dyDescent="0.25">
      <c r="C130"/>
    </row>
    <row r="131" spans="3:3" x14ac:dyDescent="0.25">
      <c r="C131"/>
    </row>
    <row r="132" spans="3:3" x14ac:dyDescent="0.25">
      <c r="C132"/>
    </row>
    <row r="133" spans="3:3" x14ac:dyDescent="0.25">
      <c r="C133"/>
    </row>
    <row r="134" spans="3:3" x14ac:dyDescent="0.25">
      <c r="C134"/>
    </row>
    <row r="135" spans="3:3" x14ac:dyDescent="0.25">
      <c r="C135"/>
    </row>
    <row r="136" spans="3:3" x14ac:dyDescent="0.25">
      <c r="C136"/>
    </row>
    <row r="137" spans="3:3" x14ac:dyDescent="0.25">
      <c r="C137"/>
    </row>
    <row r="138" spans="3:3" x14ac:dyDescent="0.25">
      <c r="C138"/>
    </row>
    <row r="139" spans="3:3" x14ac:dyDescent="0.25">
      <c r="C139"/>
    </row>
    <row r="140" spans="3:3" x14ac:dyDescent="0.25">
      <c r="C140"/>
    </row>
    <row r="141" spans="3:3" x14ac:dyDescent="0.25">
      <c r="C141"/>
    </row>
    <row r="142" spans="3:3" x14ac:dyDescent="0.25">
      <c r="C142"/>
    </row>
    <row r="143" spans="3:3" x14ac:dyDescent="0.25">
      <c r="C143"/>
    </row>
    <row r="144" spans="3:3" x14ac:dyDescent="0.25">
      <c r="C144"/>
    </row>
    <row r="145" spans="3:3" x14ac:dyDescent="0.25">
      <c r="C145"/>
    </row>
    <row r="146" spans="3:3" x14ac:dyDescent="0.25">
      <c r="C146"/>
    </row>
    <row r="147" spans="3:3" x14ac:dyDescent="0.25">
      <c r="C147"/>
    </row>
    <row r="148" spans="3:3" x14ac:dyDescent="0.25">
      <c r="C148"/>
    </row>
    <row r="149" spans="3:3" x14ac:dyDescent="0.25">
      <c r="C149"/>
    </row>
    <row r="150" spans="3:3" x14ac:dyDescent="0.25">
      <c r="C150"/>
    </row>
    <row r="151" spans="3:3" x14ac:dyDescent="0.25">
      <c r="C151"/>
    </row>
    <row r="152" spans="3:3" x14ac:dyDescent="0.25">
      <c r="C152"/>
    </row>
    <row r="153" spans="3:3" x14ac:dyDescent="0.25">
      <c r="C153"/>
    </row>
    <row r="154" spans="3:3" x14ac:dyDescent="0.25">
      <c r="C154"/>
    </row>
    <row r="155" spans="3:3" x14ac:dyDescent="0.25">
      <c r="C155"/>
    </row>
    <row r="156" spans="3:3" x14ac:dyDescent="0.25">
      <c r="C156"/>
    </row>
    <row r="157" spans="3:3" x14ac:dyDescent="0.25">
      <c r="C157"/>
    </row>
    <row r="158" spans="3:3" x14ac:dyDescent="0.25">
      <c r="C158"/>
    </row>
    <row r="159" spans="3:3" x14ac:dyDescent="0.25">
      <c r="C159"/>
    </row>
    <row r="160" spans="3:3" x14ac:dyDescent="0.25">
      <c r="C160"/>
    </row>
    <row r="161" spans="3:3" x14ac:dyDescent="0.25">
      <c r="C161"/>
    </row>
    <row r="162" spans="3:3" x14ac:dyDescent="0.25">
      <c r="C162"/>
    </row>
    <row r="163" spans="3:3" x14ac:dyDescent="0.25">
      <c r="C163"/>
    </row>
    <row r="164" spans="3:3" x14ac:dyDescent="0.25">
      <c r="C164"/>
    </row>
    <row r="165" spans="3:3" x14ac:dyDescent="0.25">
      <c r="C165"/>
    </row>
    <row r="166" spans="3:3" x14ac:dyDescent="0.25">
      <c r="C166"/>
    </row>
    <row r="167" spans="3:3" x14ac:dyDescent="0.25">
      <c r="C167"/>
    </row>
    <row r="168" spans="3:3" x14ac:dyDescent="0.25">
      <c r="C168"/>
    </row>
    <row r="169" spans="3:3" x14ac:dyDescent="0.25">
      <c r="C169"/>
    </row>
    <row r="170" spans="3:3" x14ac:dyDescent="0.25">
      <c r="C170"/>
    </row>
    <row r="171" spans="3:3" x14ac:dyDescent="0.25">
      <c r="C171"/>
    </row>
    <row r="172" spans="3:3" x14ac:dyDescent="0.25">
      <c r="C172"/>
    </row>
    <row r="173" spans="3:3" x14ac:dyDescent="0.25">
      <c r="C173"/>
    </row>
    <row r="174" spans="3:3" x14ac:dyDescent="0.25">
      <c r="C174"/>
    </row>
    <row r="175" spans="3:3" x14ac:dyDescent="0.25">
      <c r="C175"/>
    </row>
    <row r="176" spans="3:3" x14ac:dyDescent="0.25">
      <c r="C176"/>
    </row>
    <row r="177" spans="3:3" x14ac:dyDescent="0.25">
      <c r="C177"/>
    </row>
    <row r="178" spans="3:3" x14ac:dyDescent="0.25">
      <c r="C178"/>
    </row>
    <row r="179" spans="3:3" x14ac:dyDescent="0.25">
      <c r="C179"/>
    </row>
    <row r="180" spans="3:3" x14ac:dyDescent="0.25">
      <c r="C180"/>
    </row>
    <row r="181" spans="3:3" x14ac:dyDescent="0.25">
      <c r="C181"/>
    </row>
    <row r="182" spans="3:3" x14ac:dyDescent="0.25">
      <c r="C182"/>
    </row>
    <row r="183" spans="3:3" x14ac:dyDescent="0.25">
      <c r="C183"/>
    </row>
    <row r="184" spans="3:3" x14ac:dyDescent="0.25">
      <c r="C184"/>
    </row>
    <row r="185" spans="3:3" x14ac:dyDescent="0.25">
      <c r="C185"/>
    </row>
    <row r="186" spans="3:3" x14ac:dyDescent="0.25">
      <c r="C186"/>
    </row>
    <row r="187" spans="3:3" x14ac:dyDescent="0.25">
      <c r="C187"/>
    </row>
    <row r="188" spans="3:3" x14ac:dyDescent="0.25">
      <c r="C188"/>
    </row>
    <row r="189" spans="3:3" x14ac:dyDescent="0.25">
      <c r="C189"/>
    </row>
    <row r="190" spans="3:3" x14ac:dyDescent="0.25">
      <c r="C190"/>
    </row>
    <row r="191" spans="3:3" x14ac:dyDescent="0.25">
      <c r="C191"/>
    </row>
    <row r="192" spans="3:3" x14ac:dyDescent="0.25">
      <c r="C192"/>
    </row>
    <row r="193" spans="3:3" x14ac:dyDescent="0.25">
      <c r="C193"/>
    </row>
    <row r="194" spans="3:3" x14ac:dyDescent="0.25">
      <c r="C194"/>
    </row>
    <row r="195" spans="3:3" x14ac:dyDescent="0.25">
      <c r="C195"/>
    </row>
    <row r="196" spans="3:3" x14ac:dyDescent="0.25">
      <c r="C196"/>
    </row>
    <row r="197" spans="3:3" x14ac:dyDescent="0.25">
      <c r="C197"/>
    </row>
    <row r="198" spans="3:3" x14ac:dyDescent="0.25">
      <c r="C198"/>
    </row>
    <row r="199" spans="3:3" x14ac:dyDescent="0.25">
      <c r="C199"/>
    </row>
    <row r="200" spans="3:3" x14ac:dyDescent="0.25">
      <c r="C200"/>
    </row>
    <row r="201" spans="3:3" x14ac:dyDescent="0.25">
      <c r="C201"/>
    </row>
    <row r="202" spans="3:3" x14ac:dyDescent="0.25">
      <c r="C202"/>
    </row>
    <row r="203" spans="3:3" x14ac:dyDescent="0.25">
      <c r="C203"/>
    </row>
    <row r="204" spans="3:3" x14ac:dyDescent="0.25">
      <c r="C204"/>
    </row>
    <row r="205" spans="3:3" x14ac:dyDescent="0.25">
      <c r="C205"/>
    </row>
    <row r="206" spans="3:3" x14ac:dyDescent="0.25">
      <c r="C206"/>
    </row>
    <row r="207" spans="3:3" x14ac:dyDescent="0.25">
      <c r="C207"/>
    </row>
    <row r="208" spans="3:3" x14ac:dyDescent="0.25">
      <c r="C208"/>
    </row>
    <row r="209" spans="3:3" x14ac:dyDescent="0.25">
      <c r="C209"/>
    </row>
    <row r="210" spans="3:3" x14ac:dyDescent="0.25">
      <c r="C210"/>
    </row>
    <row r="211" spans="3:3" x14ac:dyDescent="0.25">
      <c r="C211"/>
    </row>
    <row r="212" spans="3:3" x14ac:dyDescent="0.25">
      <c r="C212"/>
    </row>
    <row r="213" spans="3:3" x14ac:dyDescent="0.25">
      <c r="C213"/>
    </row>
    <row r="214" spans="3:3" x14ac:dyDescent="0.25">
      <c r="C214"/>
    </row>
    <row r="215" spans="3:3" x14ac:dyDescent="0.25">
      <c r="C215"/>
    </row>
    <row r="216" spans="3:3" x14ac:dyDescent="0.25">
      <c r="C216"/>
    </row>
    <row r="217" spans="3:3" x14ac:dyDescent="0.25">
      <c r="C217"/>
    </row>
    <row r="218" spans="3:3" x14ac:dyDescent="0.25">
      <c r="C218"/>
    </row>
    <row r="219" spans="3:3" x14ac:dyDescent="0.25">
      <c r="C219"/>
    </row>
    <row r="220" spans="3:3" x14ac:dyDescent="0.25">
      <c r="C220"/>
    </row>
    <row r="221" spans="3:3" x14ac:dyDescent="0.25">
      <c r="C221"/>
    </row>
    <row r="222" spans="3:3" x14ac:dyDescent="0.25">
      <c r="C222"/>
    </row>
    <row r="223" spans="3:3" x14ac:dyDescent="0.25">
      <c r="C223"/>
    </row>
    <row r="224" spans="3:3" x14ac:dyDescent="0.25">
      <c r="C224"/>
    </row>
    <row r="225" spans="3:3" x14ac:dyDescent="0.25">
      <c r="C225"/>
    </row>
    <row r="226" spans="3:3" x14ac:dyDescent="0.25">
      <c r="C226"/>
    </row>
    <row r="227" spans="3:3" x14ac:dyDescent="0.25">
      <c r="C227"/>
    </row>
    <row r="228" spans="3:3" x14ac:dyDescent="0.25">
      <c r="C228"/>
    </row>
    <row r="229" spans="3:3" x14ac:dyDescent="0.25">
      <c r="C229"/>
    </row>
    <row r="230" spans="3:3" x14ac:dyDescent="0.25">
      <c r="C230"/>
    </row>
    <row r="231" spans="3:3" x14ac:dyDescent="0.25">
      <c r="C231"/>
    </row>
    <row r="232" spans="3:3" x14ac:dyDescent="0.25">
      <c r="C232"/>
    </row>
    <row r="233" spans="3:3" x14ac:dyDescent="0.25">
      <c r="C233"/>
    </row>
    <row r="234" spans="3:3" x14ac:dyDescent="0.25">
      <c r="C234"/>
    </row>
    <row r="235" spans="3:3" x14ac:dyDescent="0.25">
      <c r="C235"/>
    </row>
    <row r="236" spans="3:3" x14ac:dyDescent="0.25">
      <c r="C236"/>
    </row>
    <row r="237" spans="3:3" x14ac:dyDescent="0.25">
      <c r="C237"/>
    </row>
    <row r="238" spans="3:3" x14ac:dyDescent="0.25">
      <c r="C238"/>
    </row>
    <row r="239" spans="3:3" x14ac:dyDescent="0.25">
      <c r="C239"/>
    </row>
    <row r="240" spans="3:3" x14ac:dyDescent="0.25">
      <c r="C240"/>
    </row>
    <row r="241" spans="3:3" x14ac:dyDescent="0.25">
      <c r="C241"/>
    </row>
    <row r="242" spans="3:3" x14ac:dyDescent="0.25">
      <c r="C242"/>
    </row>
    <row r="243" spans="3:3" x14ac:dyDescent="0.25">
      <c r="C243"/>
    </row>
    <row r="244" spans="3:3" x14ac:dyDescent="0.25">
      <c r="C244"/>
    </row>
    <row r="245" spans="3:3" x14ac:dyDescent="0.25">
      <c r="C245"/>
    </row>
    <row r="246" spans="3:3" x14ac:dyDescent="0.25">
      <c r="C246"/>
    </row>
    <row r="247" spans="3:3" x14ac:dyDescent="0.25">
      <c r="C247"/>
    </row>
    <row r="248" spans="3:3" x14ac:dyDescent="0.25">
      <c r="C248"/>
    </row>
    <row r="249" spans="3:3" x14ac:dyDescent="0.25">
      <c r="C249"/>
    </row>
    <row r="250" spans="3:3" x14ac:dyDescent="0.25">
      <c r="C250"/>
    </row>
    <row r="251" spans="3:3" x14ac:dyDescent="0.25">
      <c r="C251"/>
    </row>
    <row r="252" spans="3:3" x14ac:dyDescent="0.25">
      <c r="C252"/>
    </row>
    <row r="253" spans="3:3" x14ac:dyDescent="0.25">
      <c r="C253"/>
    </row>
    <row r="254" spans="3:3" x14ac:dyDescent="0.25">
      <c r="C254"/>
    </row>
    <row r="255" spans="3:3" x14ac:dyDescent="0.25">
      <c r="C255"/>
    </row>
    <row r="256" spans="3:3" x14ac:dyDescent="0.25">
      <c r="C256"/>
    </row>
    <row r="257" spans="3:3" x14ac:dyDescent="0.25">
      <c r="C257"/>
    </row>
    <row r="258" spans="3:3" x14ac:dyDescent="0.25">
      <c r="C258"/>
    </row>
    <row r="259" spans="3:3" x14ac:dyDescent="0.25">
      <c r="C259"/>
    </row>
    <row r="260" spans="3:3" x14ac:dyDescent="0.25">
      <c r="C260"/>
    </row>
    <row r="261" spans="3:3" x14ac:dyDescent="0.25">
      <c r="C261"/>
    </row>
    <row r="262" spans="3:3" x14ac:dyDescent="0.25">
      <c r="C262"/>
    </row>
    <row r="263" spans="3:3" x14ac:dyDescent="0.25">
      <c r="C263"/>
    </row>
    <row r="264" spans="3:3" x14ac:dyDescent="0.25">
      <c r="C264"/>
    </row>
    <row r="265" spans="3:3" x14ac:dyDescent="0.25">
      <c r="C265"/>
    </row>
    <row r="266" spans="3:3" x14ac:dyDescent="0.25">
      <c r="C266"/>
    </row>
    <row r="267" spans="3:3" x14ac:dyDescent="0.25">
      <c r="C267"/>
    </row>
    <row r="268" spans="3:3" x14ac:dyDescent="0.25">
      <c r="C268"/>
    </row>
    <row r="269" spans="3:3" x14ac:dyDescent="0.25">
      <c r="C269"/>
    </row>
    <row r="270" spans="3:3" x14ac:dyDescent="0.25">
      <c r="C270"/>
    </row>
    <row r="271" spans="3:3" x14ac:dyDescent="0.25">
      <c r="C271"/>
    </row>
    <row r="272" spans="3:3" x14ac:dyDescent="0.25">
      <c r="C272"/>
    </row>
    <row r="273" spans="3:3" x14ac:dyDescent="0.25">
      <c r="C273"/>
    </row>
    <row r="274" spans="3:3" x14ac:dyDescent="0.25">
      <c r="C274"/>
    </row>
    <row r="275" spans="3:3" x14ac:dyDescent="0.25">
      <c r="C275"/>
    </row>
    <row r="276" spans="3:3" x14ac:dyDescent="0.25">
      <c r="C276"/>
    </row>
    <row r="277" spans="3:3" x14ac:dyDescent="0.25">
      <c r="C277"/>
    </row>
    <row r="278" spans="3:3" x14ac:dyDescent="0.25">
      <c r="C278"/>
    </row>
    <row r="279" spans="3:3" x14ac:dyDescent="0.25">
      <c r="C279"/>
    </row>
    <row r="280" spans="3:3" x14ac:dyDescent="0.25">
      <c r="C280"/>
    </row>
    <row r="281" spans="3:3" x14ac:dyDescent="0.25">
      <c r="C281"/>
    </row>
    <row r="282" spans="3:3" x14ac:dyDescent="0.25">
      <c r="C282"/>
    </row>
    <row r="283" spans="3:3" x14ac:dyDescent="0.25">
      <c r="C283"/>
    </row>
    <row r="284" spans="3:3" x14ac:dyDescent="0.25">
      <c r="C284"/>
    </row>
    <row r="285" spans="3:3" x14ac:dyDescent="0.25">
      <c r="C285"/>
    </row>
    <row r="286" spans="3:3" x14ac:dyDescent="0.25">
      <c r="C286"/>
    </row>
    <row r="287" spans="3:3" x14ac:dyDescent="0.25">
      <c r="C287"/>
    </row>
    <row r="288" spans="3:3" x14ac:dyDescent="0.25">
      <c r="C288"/>
    </row>
    <row r="289" spans="3:3" x14ac:dyDescent="0.25">
      <c r="C289"/>
    </row>
    <row r="290" spans="3:3" x14ac:dyDescent="0.25">
      <c r="C290"/>
    </row>
    <row r="291" spans="3:3" x14ac:dyDescent="0.25">
      <c r="C291"/>
    </row>
    <row r="292" spans="3:3" x14ac:dyDescent="0.25">
      <c r="C292"/>
    </row>
    <row r="293" spans="3:3" x14ac:dyDescent="0.25">
      <c r="C293"/>
    </row>
    <row r="294" spans="3:3" x14ac:dyDescent="0.25">
      <c r="C294"/>
    </row>
    <row r="295" spans="3:3" x14ac:dyDescent="0.25">
      <c r="C295"/>
    </row>
    <row r="296" spans="3:3" x14ac:dyDescent="0.25">
      <c r="C296"/>
    </row>
    <row r="297" spans="3:3" x14ac:dyDescent="0.25">
      <c r="C297"/>
    </row>
    <row r="298" spans="3:3" x14ac:dyDescent="0.25">
      <c r="C298"/>
    </row>
    <row r="299" spans="3:3" x14ac:dyDescent="0.25">
      <c r="C299"/>
    </row>
    <row r="300" spans="3:3" x14ac:dyDescent="0.25">
      <c r="C300"/>
    </row>
    <row r="301" spans="3:3" x14ac:dyDescent="0.25">
      <c r="C301"/>
    </row>
    <row r="302" spans="3:3" x14ac:dyDescent="0.25">
      <c r="C302"/>
    </row>
    <row r="303" spans="3:3" x14ac:dyDescent="0.25">
      <c r="C303"/>
    </row>
    <row r="304" spans="3:3" x14ac:dyDescent="0.25">
      <c r="C304"/>
    </row>
    <row r="305" spans="3:3" x14ac:dyDescent="0.25">
      <c r="C305"/>
    </row>
    <row r="306" spans="3:3" x14ac:dyDescent="0.25">
      <c r="C306"/>
    </row>
    <row r="307" spans="3:3" x14ac:dyDescent="0.25">
      <c r="C307"/>
    </row>
    <row r="308" spans="3:3" x14ac:dyDescent="0.25">
      <c r="C308"/>
    </row>
    <row r="309" spans="3:3" x14ac:dyDescent="0.25">
      <c r="C309"/>
    </row>
    <row r="310" spans="3:3" x14ac:dyDescent="0.25">
      <c r="C310"/>
    </row>
    <row r="311" spans="3:3" x14ac:dyDescent="0.25">
      <c r="C311"/>
    </row>
    <row r="312" spans="3:3" x14ac:dyDescent="0.25">
      <c r="C312"/>
    </row>
    <row r="313" spans="3:3" x14ac:dyDescent="0.25">
      <c r="C313"/>
    </row>
    <row r="314" spans="3:3" x14ac:dyDescent="0.25">
      <c r="C314"/>
    </row>
    <row r="315" spans="3:3" x14ac:dyDescent="0.25">
      <c r="C315"/>
    </row>
    <row r="316" spans="3:3" x14ac:dyDescent="0.25">
      <c r="C316"/>
    </row>
    <row r="317" spans="3:3" x14ac:dyDescent="0.25">
      <c r="C317"/>
    </row>
    <row r="318" spans="3:3" x14ac:dyDescent="0.25">
      <c r="C318"/>
    </row>
    <row r="319" spans="3:3" x14ac:dyDescent="0.25">
      <c r="C319"/>
    </row>
    <row r="320" spans="3:3" x14ac:dyDescent="0.25">
      <c r="C320"/>
    </row>
    <row r="321" spans="3:3" x14ac:dyDescent="0.25">
      <c r="C321"/>
    </row>
    <row r="322" spans="3:3" x14ac:dyDescent="0.25">
      <c r="C322"/>
    </row>
    <row r="323" spans="3:3" x14ac:dyDescent="0.25">
      <c r="C323"/>
    </row>
    <row r="324" spans="3:3" x14ac:dyDescent="0.25">
      <c r="C324"/>
    </row>
    <row r="325" spans="3:3" x14ac:dyDescent="0.25">
      <c r="C325"/>
    </row>
    <row r="326" spans="3:3" x14ac:dyDescent="0.25">
      <c r="C326"/>
    </row>
  </sheetData>
  <conditionalFormatting sqref="D2:AC20">
    <cfRule type="colorScale" priority="3">
      <colorScale>
        <cfvo type="min"/>
        <cfvo type="max"/>
        <color rgb="FFFCFCFF"/>
        <color rgb="FF63BE7B"/>
      </colorScale>
    </cfRule>
  </conditionalFormatting>
  <conditionalFormatting sqref="D22:AC22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115B7-EEBA-4A5B-A0BD-F974ADBCE257}">
  <dimension ref="A1:C20"/>
  <sheetViews>
    <sheetView showGridLines="0" workbookViewId="0">
      <selection activeCell="G14" sqref="G14"/>
    </sheetView>
  </sheetViews>
  <sheetFormatPr defaultRowHeight="15" x14ac:dyDescent="0.25"/>
  <cols>
    <col min="2" max="3" width="21.7109375" style="7" customWidth="1"/>
  </cols>
  <sheetData>
    <row r="1" spans="1:3" ht="30" x14ac:dyDescent="0.25">
      <c r="A1" s="1" t="s">
        <v>3</v>
      </c>
      <c r="B1" s="27" t="s">
        <v>55</v>
      </c>
      <c r="C1" s="27" t="s">
        <v>94</v>
      </c>
    </row>
    <row r="2" spans="1:3" x14ac:dyDescent="0.25">
      <c r="A2" s="1">
        <v>2</v>
      </c>
      <c r="B2" s="7" t="s">
        <v>56</v>
      </c>
      <c r="C2" s="7" t="s">
        <v>57</v>
      </c>
    </row>
    <row r="3" spans="1:3" x14ac:dyDescent="0.25">
      <c r="A3" s="1">
        <v>3</v>
      </c>
      <c r="B3" s="7" t="s">
        <v>58</v>
      </c>
      <c r="C3" s="7" t="s">
        <v>59</v>
      </c>
    </row>
    <row r="4" spans="1:3" x14ac:dyDescent="0.25">
      <c r="A4" s="1">
        <v>4</v>
      </c>
      <c r="B4" s="7" t="s">
        <v>60</v>
      </c>
      <c r="C4" s="7" t="s">
        <v>61</v>
      </c>
    </row>
    <row r="5" spans="1:3" x14ac:dyDescent="0.25">
      <c r="A5" s="1">
        <v>5</v>
      </c>
      <c r="B5" s="7" t="s">
        <v>62</v>
      </c>
      <c r="C5" s="7" t="s">
        <v>63</v>
      </c>
    </row>
    <row r="6" spans="1:3" x14ac:dyDescent="0.25">
      <c r="A6" s="1">
        <v>6</v>
      </c>
      <c r="B6" s="7" t="s">
        <v>64</v>
      </c>
      <c r="C6" s="7" t="s">
        <v>65</v>
      </c>
    </row>
    <row r="7" spans="1:3" x14ac:dyDescent="0.25">
      <c r="A7" s="1">
        <v>7</v>
      </c>
      <c r="B7" s="7" t="s">
        <v>66</v>
      </c>
      <c r="C7" s="7" t="s">
        <v>67</v>
      </c>
    </row>
    <row r="8" spans="1:3" x14ac:dyDescent="0.25">
      <c r="A8" s="1">
        <v>8</v>
      </c>
      <c r="B8" s="7" t="s">
        <v>68</v>
      </c>
      <c r="C8" s="7" t="s">
        <v>69</v>
      </c>
    </row>
    <row r="9" spans="1:3" x14ac:dyDescent="0.25">
      <c r="A9" s="1">
        <v>9</v>
      </c>
      <c r="B9" s="7" t="s">
        <v>70</v>
      </c>
      <c r="C9" s="7" t="s">
        <v>71</v>
      </c>
    </row>
    <row r="10" spans="1:3" x14ac:dyDescent="0.25">
      <c r="A10" s="1">
        <v>10</v>
      </c>
      <c r="B10" s="7" t="s">
        <v>72</v>
      </c>
      <c r="C10" s="7" t="s">
        <v>73</v>
      </c>
    </row>
    <row r="11" spans="1:3" x14ac:dyDescent="0.25">
      <c r="A11" s="1">
        <v>11</v>
      </c>
      <c r="B11" s="7" t="s">
        <v>74</v>
      </c>
      <c r="C11" s="7" t="s">
        <v>75</v>
      </c>
    </row>
    <row r="12" spans="1:3" x14ac:dyDescent="0.25">
      <c r="A12" s="1">
        <v>12</v>
      </c>
      <c r="B12" s="7" t="s">
        <v>76</v>
      </c>
      <c r="C12" s="7" t="s">
        <v>77</v>
      </c>
    </row>
    <row r="13" spans="1:3" x14ac:dyDescent="0.25">
      <c r="A13" s="1">
        <v>13</v>
      </c>
      <c r="B13" s="7" t="s">
        <v>78</v>
      </c>
      <c r="C13" s="7" t="s">
        <v>79</v>
      </c>
    </row>
    <row r="14" spans="1:3" x14ac:dyDescent="0.25">
      <c r="A14" s="1">
        <v>14</v>
      </c>
      <c r="B14" s="7" t="s">
        <v>80</v>
      </c>
      <c r="C14" s="7" t="s">
        <v>81</v>
      </c>
    </row>
    <row r="15" spans="1:3" x14ac:dyDescent="0.25">
      <c r="A15" s="1">
        <v>15</v>
      </c>
      <c r="B15" s="7" t="s">
        <v>82</v>
      </c>
      <c r="C15" s="7" t="s">
        <v>83</v>
      </c>
    </row>
    <row r="16" spans="1:3" x14ac:dyDescent="0.25">
      <c r="A16" s="1">
        <v>16</v>
      </c>
      <c r="B16" s="7" t="s">
        <v>84</v>
      </c>
      <c r="C16" s="7" t="s">
        <v>85</v>
      </c>
    </row>
    <row r="17" spans="1:3" x14ac:dyDescent="0.25">
      <c r="A17" s="1">
        <v>17</v>
      </c>
      <c r="B17" s="7" t="s">
        <v>86</v>
      </c>
      <c r="C17" s="7" t="s">
        <v>87</v>
      </c>
    </row>
    <row r="18" spans="1:3" x14ac:dyDescent="0.25">
      <c r="A18" s="1">
        <v>18</v>
      </c>
      <c r="B18" s="7" t="s">
        <v>88</v>
      </c>
      <c r="C18" s="7" t="s">
        <v>89</v>
      </c>
    </row>
    <row r="19" spans="1:3" x14ac:dyDescent="0.25">
      <c r="A19" s="1">
        <v>19</v>
      </c>
      <c r="B19" s="7" t="s">
        <v>90</v>
      </c>
      <c r="C19" s="7" t="s">
        <v>91</v>
      </c>
    </row>
    <row r="20" spans="1:3" x14ac:dyDescent="0.25">
      <c r="A20" s="1">
        <v>20</v>
      </c>
      <c r="B20" s="7" t="s">
        <v>92</v>
      </c>
      <c r="C20" s="7" t="s">
        <v>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Final Dist Detail</vt:lpstr>
      <vt:lpstr>Sheet9</vt:lpstr>
      <vt:lpstr>Final Summary </vt:lpstr>
      <vt:lpstr>Word of Most Common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2020-05-01T10:24:35Z</dcterms:created>
  <dcterms:modified xsi:type="dcterms:W3CDTF">2020-05-01T15:43:08Z</dcterms:modified>
</cp:coreProperties>
</file>